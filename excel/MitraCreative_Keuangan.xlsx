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14.xml.rels" ContentType="application/vnd.openxmlformats-package.relationships+xml"/>
  <Override PartName="/xl/worksheets/_rels/sheet11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16.xml.rels" ContentType="application/vnd.openxmlformats-package.relationships+xml"/>
  <Override PartName="/xl/worksheets/_rels/sheet15.xml.rels" ContentType="application/vnd.openxmlformats-package.relationships+xml"/>
  <Override PartName="/xl/worksheets/_rels/sheet9.xml.rels" ContentType="application/vnd.openxmlformats-package.relationships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6.xml" ContentType="application/vnd.openxmlformats-officedocument.spreadsheetml.table+xml"/>
  <Override PartName="/xl/tables/table13.xml" ContentType="application/vnd.openxmlformats-officedocument.spreadsheetml.table+xml"/>
  <Override PartName="/xl/tables/table5.xml" ContentType="application/vnd.openxmlformats-officedocument.spreadsheetml.table+xml"/>
  <Override PartName="/xl/tables/table12.xml" ContentType="application/vnd.openxmlformats-officedocument.spreadsheetml.table+xml"/>
  <Override PartName="/xl/tables/table7.xml" ContentType="application/vnd.openxmlformats-officedocument.spreadsheetml.table+xml"/>
  <Override PartName="/xl/tables/table14.xml" ContentType="application/vnd.openxmlformats-officedocument.spreadsheetml.table+xml"/>
  <Override PartName="/xl/tables/table4.xml" ContentType="application/vnd.openxmlformats-officedocument.spreadsheetml.table+xml"/>
  <Override PartName="/xl/tables/table11.xml" ContentType="application/vnd.openxmlformats-officedocument.spreadsheetml.table+xml"/>
  <Override PartName="/xl/tables/table9.xml" ContentType="application/vnd.openxmlformats-officedocument.spreadsheetml.table+xml"/>
  <Override PartName="/xl/tables/table1.xml" ContentType="application/vnd.openxmlformats-officedocument.spreadsheetml.table+xml"/>
  <Override PartName="/xl/tables/table3.xml" ContentType="application/vnd.openxmlformats-officedocument.spreadsheetml.table+xml"/>
  <Override PartName="/xl/tables/table8.xml" ContentType="application/vnd.openxmlformats-officedocument.spreadsheetml.table+xml"/>
  <Override PartName="/xl/tables/table10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Kas Perusahaan" sheetId="2" state="visible" r:id="rId4"/>
    <sheet name="Kas Pribadi" sheetId="3" state="visible" r:id="rId5"/>
    <sheet name="Margin Proyek" sheetId="4" state="visible" r:id="rId6"/>
    <sheet name="Karyawan" sheetId="5" state="visible" r:id="rId7"/>
    <sheet name="Absensi Harian" sheetId="6" state="visible" r:id="rId8"/>
    <sheet name="Penggajian &amp; Slip Gaji" sheetId="7" state="visible" r:id="rId9"/>
    <sheet name="Cetak Slip Gaji" sheetId="8" state="visible" r:id="rId10"/>
    <sheet name="Stok Material &amp; Alat" sheetId="9" state="visible" r:id="rId11"/>
    <sheet name="Stok - Riwayat" sheetId="10" state="visible" r:id="rId12"/>
    <sheet name="AHSP" sheetId="11" state="visible" r:id="rId13"/>
    <sheet name="AHSP - Komponen" sheetId="12" state="visible" r:id="rId14"/>
    <sheet name="RAB" sheetId="13" state="visible" r:id="rId15"/>
    <sheet name="RAB - Item" sheetId="14" state="visible" r:id="rId16"/>
    <sheet name="Penawaran Harga" sheetId="15" state="visible" r:id="rId17"/>
    <sheet name="Penawaran - Item" sheetId="16" state="visible" r:id="rId18"/>
    <sheet name="Cetak Penawaran" sheetId="17" state="visible" r:id="rId19"/>
    <sheet name="Pengaturan" sheetId="18" state="visible" r:id="rId20"/>
    <sheet name="All_Transaksi" sheetId="19" state="hidden" r:id="rId21"/>
    <sheet name="Data" sheetId="20" state="hidden" r:id="rId22"/>
  </sheets>
  <definedNames>
    <definedName function="false" hidden="false" name="CompanyAddress" vbProcedure="false">Pengaturan!$B$5</definedName>
    <definedName function="false" hidden="false" name="CompanyName" vbProcedure="false">Pengaturan!$B$4</definedName>
    <definedName function="false" hidden="false" name="CompanyPhone" vbProcedure="false">Pengaturan!$B$6</definedName>
    <definedName function="false" hidden="false" name="KP_Pemasukan" vbProcedure="false">'Kas Pribadi'!$C$4</definedName>
    <definedName function="false" hidden="false" name="KP_Pengeluaran" vbProcedure="false">'Kas Pribadi'!$D$4</definedName>
    <definedName function="false" hidden="false" name="KP_SaldoAkhir" vbProcedure="false">'Kas Pribadi'!$E$4</definedName>
    <definedName function="false" hidden="false" name="KP_SaldoAwal" vbProcedure="false">'Kas Pribadi'!$B$4</definedName>
    <definedName function="false" hidden="false" name="KU_Pemasukan" vbProcedure="false">'Kas Perusahaan'!$C$4</definedName>
    <definedName function="false" hidden="false" name="KU_Pengeluaran" vbProcedure="false">'Kas Perusahaan'!$D$4</definedName>
    <definedName function="false" hidden="false" name="KU_Piutang" vbProcedure="false">'Kas Perusahaan'!$F$4</definedName>
    <definedName function="false" hidden="false" name="KU_SaldoAkhir" vbProcedure="false">'Kas Perusahaan'!$E$4</definedName>
    <definedName function="false" hidden="false" name="KU_SaldoAwal" vbProcedure="false">'Kas Perusahaan'!$B$4</definedName>
    <definedName function="false" hidden="false" name="MP_TotalBiaya" vbProcedure="false">'Margin Proyek'!$C$4</definedName>
    <definedName function="false" hidden="false" name="MP_TotalKontrak" vbProcedure="false">'Margin Proyek'!$B$4</definedName>
    <definedName function="false" hidden="false" name="MP_TotalMargin" vbProcedure="false">'Margin Proyek'!$D$4</definedName>
    <definedName function="false" hidden="false" name="OwnerJabatan" vbProcedure="false">Pengaturan!$B$8</definedName>
    <definedName function="false" hidden="false" name="OwnerName" vbProcedure="false">Pengaturan!$B$7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<sst xmlns="http://schemas.openxmlformats.org/spreadsheetml/2006/main" count="764" uniqueCount="401">
  <si>
    <t xml:space="preserve">Dashboard</t>
  </si>
  <si>
    <t xml:space="preserve">Ringkasan keuangan usaha, pribadi, dan proyek — semua dihitung otomatis dari sheet lain.</t>
  </si>
  <si>
    <t xml:space="preserve">Saldo Kas Perusahaan</t>
  </si>
  <si>
    <t xml:space="preserve">Saldo Kas Pribadi</t>
  </si>
  <si>
    <t xml:space="preserve">Total Margin Proyek</t>
  </si>
  <si>
    <t xml:space="preserve">Piutang Belum Diterima</t>
  </si>
  <si>
    <t xml:space="preserve">Kategori</t>
  </si>
  <si>
    <t xml:space="preserve">Nilai</t>
  </si>
  <si>
    <t xml:space="preserve">Usaha - Masuk</t>
  </si>
  <si>
    <t xml:space="preserve">Usaha - Keluar</t>
  </si>
  <si>
    <t xml:space="preserve">Pribadi - Masuk</t>
  </si>
  <si>
    <t xml:space="preserve">Pribadi - Keluar</t>
  </si>
  <si>
    <t xml:space="preserve">Transaksi Terbaru</t>
  </si>
  <si>
    <t xml:space="preserve">Tanggal</t>
  </si>
  <si>
    <t xml:space="preserve">Sumber</t>
  </si>
  <si>
    <t xml:space="preserve">Keterangan</t>
  </si>
  <si>
    <t xml:space="preserve">Tipe</t>
  </si>
  <si>
    <t xml:space="preserve">Jumlah</t>
  </si>
  <si>
    <t xml:space="preserve">Kas Perusahaan</t>
  </si>
  <si>
    <t xml:space="preserve">Catat semua transaksi kas yang berhubungan dengan usaha. Jangan campur dengan uang pribadi.</t>
  </si>
  <si>
    <t xml:space="preserve">Saldo Awal</t>
  </si>
  <si>
    <t xml:space="preserve">Total Pemasukan</t>
  </si>
  <si>
    <t xml:space="preserve">Total Pengeluaran</t>
  </si>
  <si>
    <t xml:space="preserve">Saldo Akhir</t>
  </si>
  <si>
    <t xml:space="preserve">Piutang (Belum Diterima)</t>
  </si>
  <si>
    <t xml:space="preserve">Klien/Proyek</t>
  </si>
  <si>
    <t xml:space="preserve">Status</t>
  </si>
  <si>
    <t xml:space="preserve">SPK Tiang T Gadai Sakti Bancar Kembar</t>
  </si>
  <si>
    <t xml:space="preserve">Pendapatan Jasa</t>
  </si>
  <si>
    <t xml:space="preserve">Gadai Sakti</t>
  </si>
  <si>
    <t xml:space="preserve">Masuk</t>
  </si>
  <si>
    <t xml:space="preserve">Lunas</t>
  </si>
  <si>
    <t xml:space="preserve">SPK Tiang T Gadai Sakti Karang Lewas</t>
  </si>
  <si>
    <t xml:space="preserve">SPK Tmpk Dpn dan Tiang T Gadai Sakti Jembatan 5</t>
  </si>
  <si>
    <t xml:space="preserve">SPK CCTV Gadai Sakti Bantul</t>
  </si>
  <si>
    <t xml:space="preserve">SPK Tiang T Gadai Sakti Ngaglik</t>
  </si>
  <si>
    <t xml:space="preserve">SPK Tiang T NSC Ngaglik</t>
  </si>
  <si>
    <t xml:space="preserve">NSC Finance</t>
  </si>
  <si>
    <t xml:space="preserve">SPK Tiang T NS Ngaglik</t>
  </si>
  <si>
    <t xml:space="preserve">Nusantara Sakti</t>
  </si>
  <si>
    <t xml:space="preserve">BAST Tiang T Gadai Sakti Bancar Kembar</t>
  </si>
  <si>
    <t xml:space="preserve">BAST Tiang T Gadai Sakti Karang Lewas</t>
  </si>
  <si>
    <t xml:space="preserve">SPK Tmpk Dpn dan Tiang T Gadai Sakti Sumberharjo</t>
  </si>
  <si>
    <t xml:space="preserve">SPK CCTV Gadai Sakti Sumberharjo</t>
  </si>
  <si>
    <t xml:space="preserve">SPK Tmpk Dpn dan Tiang T Gadai Sakti Tlogosari</t>
  </si>
  <si>
    <t xml:space="preserve">BAST Tmpk Dpn dan Tiang T Gadai Sakti Jembatan 5</t>
  </si>
  <si>
    <t xml:space="preserve">SPK Tampak Depan Gadai Sakti Karangmulya</t>
  </si>
  <si>
    <t xml:space="preserve">SPK Tiang T Gadai Sakti Karangmulya</t>
  </si>
  <si>
    <t xml:space="preserve">SPK Gudang Gadai Sakti Karangmulya</t>
  </si>
  <si>
    <t xml:space="preserve">BAST Tmpk Dpn dan Tiang T Gadai Sakti Tlogosari</t>
  </si>
  <si>
    <t xml:space="preserve">SPK Tmpk Dpn dan Tiang T NSC Cipayung</t>
  </si>
  <si>
    <t xml:space="preserve">SPK Tmpk Dpn dan Tiang T Gadai Sakti Cipayung</t>
  </si>
  <si>
    <t xml:space="preserve">BAST Tmpk Dpn dan Tiang T Gadai Sakti Sumberharjo</t>
  </si>
  <si>
    <t xml:space="preserve">Pending</t>
  </si>
  <si>
    <t xml:space="preserve">BAST Tiang T Gadai Sakti Ngaglik</t>
  </si>
  <si>
    <t xml:space="preserve">BAST Tiang T NSC Ngaglik</t>
  </si>
  <si>
    <t xml:space="preserve">BAST Tiang T NS Ngaglik</t>
  </si>
  <si>
    <t xml:space="preserve">SPK Tmpk Dpan dan Tiang T Gadai Sakti Bantul</t>
  </si>
  <si>
    <t xml:space="preserve">SPK Tmpk Dpan dan Tiang T NSC Bantul</t>
  </si>
  <si>
    <t xml:space="preserve">SPK Tmpk Dpan dan Tiang T Gadai Sakti Sumur Pecung</t>
  </si>
  <si>
    <t xml:space="preserve">SPK Tmpk Dpan dan Tiang T NSC Sumur Pecung</t>
  </si>
  <si>
    <t xml:space="preserve">BAST Tampak Depan Gadai Sakti Karangmulya</t>
  </si>
  <si>
    <t xml:space="preserve">BAST Tiang T Gadai Sakti Karangmulya</t>
  </si>
  <si>
    <t xml:space="preserve">BAST Tmpk Dpn dan Tiang T Gadai Sakti Cipayung</t>
  </si>
  <si>
    <t xml:space="preserve">BAST Tmpk Dpn dan Tiang T NSC Cipayung</t>
  </si>
  <si>
    <t xml:space="preserve">SPK Tampak Depan Gadai Sakti Kalideres</t>
  </si>
  <si>
    <t xml:space="preserve">SPK Tampak Depan NSC Kalideres</t>
  </si>
  <si>
    <t xml:space="preserve">SPK Gudang Gadai Sakti Sukadami</t>
  </si>
  <si>
    <t xml:space="preserve">SPK Tmpk Dpan dan Tiang T Gadai Sakti Kutoarjo</t>
  </si>
  <si>
    <t xml:space="preserve">SPK Tmpk Dpan dan Tiang T NSC Kutoarjo</t>
  </si>
  <si>
    <t xml:space="preserve">Kas Pribadi</t>
  </si>
  <si>
    <t xml:space="preserve">Uang pribadi (gaji/prive dari usaha + pengeluaran pribadi). Terpisah total dari Kas Perusahaan.</t>
  </si>
  <si>
    <t xml:space="preserve">Prive Bulan Ini</t>
  </si>
  <si>
    <t xml:space="preserve">Sumber Dana</t>
  </si>
  <si>
    <t xml:space="preserve">Ambil gaji/prive bulan Januari</t>
  </si>
  <si>
    <t xml:space="preserve">Prive/Gaji Owner</t>
  </si>
  <si>
    <t xml:space="preserve">Kas Usaha</t>
  </si>
  <si>
    <t xml:space="preserve">Kebutuhan rumah tangga</t>
  </si>
  <si>
    <t xml:space="preserve">Kebutuhan Harian</t>
  </si>
  <si>
    <t xml:space="preserve">-</t>
  </si>
  <si>
    <t xml:space="preserve">Keluar</t>
  </si>
  <si>
    <t xml:space="preserve">Margin per Proyek</t>
  </si>
  <si>
    <t xml:space="preserve">Isi data proyek + biaya. Margin &amp; status otomatis terhitung. &lt;15% = Tipis/berisiko, 15-30% = Sehat, &gt;30% = Bagus.</t>
  </si>
  <si>
    <t xml:space="preserve">Total Nilai Kontrak</t>
  </si>
  <si>
    <t xml:space="preserve">Total Biaya</t>
  </si>
  <si>
    <t xml:space="preserve">Total Margin/Laba</t>
  </si>
  <si>
    <t xml:space="preserve">Rata-rata Margin</t>
  </si>
  <si>
    <t xml:space="preserve">Nama Proyek / Klien</t>
  </si>
  <si>
    <t xml:space="preserve">Nilai Kontrak</t>
  </si>
  <si>
    <t xml:space="preserve">Biaya Bahan</t>
  </si>
  <si>
    <t xml:space="preserve">Biaya Upah</t>
  </si>
  <si>
    <t xml:space="preserve">Biaya Lain</t>
  </si>
  <si>
    <t xml:space="preserve">Margin</t>
  </si>
  <si>
    <t xml:space="preserve">Margin %</t>
  </si>
  <si>
    <t xml:space="preserve">Klien A - Signage Toko (Repeat Order Jan)</t>
  </si>
  <si>
    <t xml:space="preserve">Klien B - Branding Interior Kantor</t>
  </si>
  <si>
    <t xml:space="preserve">Karyawan &amp; Gaji — Daftar Karyawan</t>
  </si>
  <si>
    <t xml:space="preserve">Absensi ada di sheet 'Absensi Harian', slip gaji ada di sheet 'Penggajian &amp; Slip Gaji'.</t>
  </si>
  <si>
    <t xml:space="preserve">Karyawan Aktif</t>
  </si>
  <si>
    <t xml:space="preserve">Total Upah Harian (Aktif)</t>
  </si>
  <si>
    <t xml:space="preserve">Total Sisa Pinjaman</t>
  </si>
  <si>
    <t xml:space="preserve">Nama</t>
  </si>
  <si>
    <t xml:space="preserve">Jabatan</t>
  </si>
  <si>
    <t xml:space="preserve">Tipe Gaji</t>
  </si>
  <si>
    <t xml:space="preserve">Upah Harian</t>
  </si>
  <si>
    <t xml:space="preserve">Tarif Lembur/Jam</t>
  </si>
  <si>
    <t xml:space="preserve">Uang Makan/Hari</t>
  </si>
  <si>
    <t xml:space="preserve">Gaji Bulanan</t>
  </si>
  <si>
    <t xml:space="preserve">Target Bulanan</t>
  </si>
  <si>
    <t xml:space="preserve">% Bonus</t>
  </si>
  <si>
    <t xml:space="preserve">Pinjaman Awal</t>
  </si>
  <si>
    <t xml:space="preserve">Sisa Pinjaman</t>
  </si>
  <si>
    <t xml:space="preserve">Absensi Harian</t>
  </si>
  <si>
    <t xml:space="preserve">Satu baris = satu karyawan pada satu tanggal. Dipakai otomatis oleh sheet Penggajian &amp; Slip Gaji untuk menghitung hari hadir &amp; jam lembur per periode.</t>
  </si>
  <si>
    <t xml:space="preserve">Nama Karyawan</t>
  </si>
  <si>
    <t xml:space="preserve">Hadir</t>
  </si>
  <si>
    <t xml:space="preserve">Jam Lembur</t>
  </si>
  <si>
    <t xml:space="preserve">Penggajian &amp; Slip Gaji</t>
  </si>
  <si>
    <t xml:space="preserve">No</t>
  </si>
  <si>
    <t xml:space="preserve">Periode Mulai</t>
  </si>
  <si>
    <t xml:space="preserve">Periode Selesai</t>
  </si>
  <si>
    <t xml:space="preserve">Hari Hadir</t>
  </si>
  <si>
    <t xml:space="preserve">Total Upah Harian</t>
  </si>
  <si>
    <t xml:space="preserve">Tarif Lembur</t>
  </si>
  <si>
    <t xml:space="preserve">Total Lembur</t>
  </si>
  <si>
    <t xml:space="preserve">Target</t>
  </si>
  <si>
    <t xml:space="preserve">Realisasi</t>
  </si>
  <si>
    <t xml:space="preserve">Bonus Target</t>
  </si>
  <si>
    <t xml:space="preserve">Upah Kotor</t>
  </si>
  <si>
    <t xml:space="preserve">Uang Makan</t>
  </si>
  <si>
    <t xml:space="preserve">Bon</t>
  </si>
  <si>
    <t xml:space="preserve">Potongan Pinjaman</t>
  </si>
  <si>
    <t xml:space="preserve">Sisa Sebelum</t>
  </si>
  <si>
    <t xml:space="preserve">Sisa Sesudah</t>
  </si>
  <si>
    <t xml:space="preserve">Gaji Bersih</t>
  </si>
  <si>
    <t xml:space="preserve">Pilih No Slip:</t>
  </si>
  <si>
    <t xml:space="preserve">SLIP GAJI KARYAWAN</t>
  </si>
  <si>
    <t xml:space="preserve">Sisa Pinjaman Sebelum</t>
  </si>
  <si>
    <t xml:space="preserve">Sisa Pinjaman Sesudah</t>
  </si>
  <si>
    <t xml:space="preserve">GAJI BERSIH (Take Home)</t>
  </si>
  <si>
    <t xml:space="preserve">Stok Material &amp; Alat</t>
  </si>
  <si>
    <t xml:space="preserve">Stok saat ini dihitung otomatis dari sheet 'Stok - Riwayat' (barang masuk/keluar) — tidak pernah ditimpa manual, jadi selalu bisa diaudit.</t>
  </si>
  <si>
    <t xml:space="preserve">Total Jenis Barang</t>
  </si>
  <si>
    <t xml:space="preserve">Total Nilai Stok</t>
  </si>
  <si>
    <t xml:space="preserve">Hampir Habis</t>
  </si>
  <si>
    <t xml:space="preserve">Stok Habis</t>
  </si>
  <si>
    <t xml:space="preserve">Nama Barang</t>
  </si>
  <si>
    <t xml:space="preserve">Satuan</t>
  </si>
  <si>
    <t xml:space="preserve">Stok Awal</t>
  </si>
  <si>
    <t xml:space="preserve">Stok Minimum</t>
  </si>
  <si>
    <t xml:space="preserve">Harga Satuan</t>
  </si>
  <si>
    <t xml:space="preserve">Stok Saat Ini</t>
  </si>
  <si>
    <t xml:space="preserve">Nilai Stok</t>
  </si>
  <si>
    <t xml:space="preserve">Stok - Riwayat Transaksi</t>
  </si>
  <si>
    <t xml:space="preserve">Catat setiap barang masuk (pembelian/restock) dan keluar (pemakaian proyek). Sheet 'Stok Material &amp; Alat' otomatis mengikuti riwayat ini.</t>
  </si>
  <si>
    <t xml:space="preserve">Qty</t>
  </si>
  <si>
    <t xml:space="preserve">AHSP — Analisa Harga Satuan Pekerjaan</t>
  </si>
  <si>
    <t xml:space="preserve">Database harga satuan per kategori usaha. Kode dipakai untuk ambil harga otomatis di RAB &amp; Penawaran. Mode 'Detail': isi rincian komponen di sheet 'AHSP - Komponen' (harga terhitung otomatis + overhead%).</t>
  </si>
  <si>
    <t xml:space="preserve">Kode</t>
  </si>
  <si>
    <t xml:space="preserve">Uraian Pekerjaan</t>
  </si>
  <si>
    <t xml:space="preserve">Mode</t>
  </si>
  <si>
    <t xml:space="preserve">Harga Manual</t>
  </si>
  <si>
    <t xml:space="preserve">Overhead %</t>
  </si>
  <si>
    <t xml:space="preserve">Subtotal Komponen</t>
  </si>
  <si>
    <t xml:space="preserve">Harga Satuan Final</t>
  </si>
  <si>
    <t xml:space="preserve">Sipil/Konstruksi</t>
  </si>
  <si>
    <t xml:space="preserve">SIP-01</t>
  </si>
  <si>
    <t xml:space="preserve">Pasangan Bata Merah 1:4</t>
  </si>
  <si>
    <t xml:space="preserve">m2</t>
  </si>
  <si>
    <t xml:space="preserve">Detail</t>
  </si>
  <si>
    <t xml:space="preserve">SIP-02</t>
  </si>
  <si>
    <t xml:space="preserve">Plesteran 1:4 Tebal 15mm</t>
  </si>
  <si>
    <t xml:space="preserve">SIP-03</t>
  </si>
  <si>
    <t xml:space="preserve">Pengecatan Dinding (2x lapis)</t>
  </si>
  <si>
    <t xml:space="preserve">Manual</t>
  </si>
  <si>
    <t xml:space="preserve">Advertising</t>
  </si>
  <si>
    <t xml:space="preserve">ADV-01</t>
  </si>
  <si>
    <t xml:space="preserve">Pembuatan &amp; Pemasangan Neon Box Acrylic</t>
  </si>
  <si>
    <t xml:space="preserve">ADV-02</t>
  </si>
  <si>
    <t xml:space="preserve">Cetak Baliho Flexy Frontlite + Rangka Kayu</t>
  </si>
  <si>
    <t xml:space="preserve">ADV-03</t>
  </si>
  <si>
    <t xml:space="preserve">Pemasangan Huruf Timbul Galvanis + Cat Duco</t>
  </si>
  <si>
    <t xml:space="preserve">Renovasi Interior</t>
  </si>
  <si>
    <t xml:space="preserve">INT-01</t>
  </si>
  <si>
    <t xml:space="preserve">Pemasangan Plafon Gypsum + Rangka Hollow</t>
  </si>
  <si>
    <t xml:space="preserve">INT-02</t>
  </si>
  <si>
    <t xml:space="preserve">Pemasangan Keramik Lantai 60x60</t>
  </si>
  <si>
    <t xml:space="preserve">Renovasi Eksterior</t>
  </si>
  <si>
    <t xml:space="preserve">EKS-01</t>
  </si>
  <si>
    <t xml:space="preserve">Pengecatan Fasad Eksterior Weathershield</t>
  </si>
  <si>
    <t xml:space="preserve">EKS-02</t>
  </si>
  <si>
    <t xml:space="preserve">Pemasangan Kanopi Baja Ringan + Atap Spandek</t>
  </si>
  <si>
    <t xml:space="preserve">Event Organizer</t>
  </si>
  <si>
    <t xml:space="preserve">EO-01</t>
  </si>
  <si>
    <t xml:space="preserve">Sewa &amp; Pemasangan Tenda Sarnavil + Kursi</t>
  </si>
  <si>
    <t xml:space="preserve">paket</t>
  </si>
  <si>
    <t xml:space="preserve">EO-02</t>
  </si>
  <si>
    <t xml:space="preserve">Dekorasi Panggung + Backdrop Event</t>
  </si>
  <si>
    <t xml:space="preserve">EO-03</t>
  </si>
  <si>
    <t xml:space="preserve">Jasa MC &amp; Sound System Event</t>
  </si>
  <si>
    <t xml:space="preserve">hari</t>
  </si>
  <si>
    <t xml:space="preserve">Konstruksi Baja</t>
  </si>
  <si>
    <t xml:space="preserve">BJ-01</t>
  </si>
  <si>
    <t xml:space="preserve">Fabrikasi &amp; Pasang Rangka Baja WF</t>
  </si>
  <si>
    <t xml:space="preserve">kg</t>
  </si>
  <si>
    <t xml:space="preserve">BJ-02</t>
  </si>
  <si>
    <t xml:space="preserve">Pemasangan Atap Baja Spandek + Rangka</t>
  </si>
  <si>
    <t xml:space="preserve">Gudang Gadai Sakti</t>
  </si>
  <si>
    <t xml:space="preserve">GS-01</t>
  </si>
  <si>
    <t xml:space="preserve">Partisi Pengaman Wiremesh + Hollow Blacksteel</t>
  </si>
  <si>
    <t xml:space="preserve">GS-02</t>
  </si>
  <si>
    <t xml:space="preserve">Pintu Plat Besi + Frame Hollow Blacksteel + Handle/Lock/Kunci/Engsel/Gembok Ex. Dekkson</t>
  </si>
  <si>
    <t xml:space="preserve">unit</t>
  </si>
  <si>
    <t xml:space="preserve">GS-03</t>
  </si>
  <si>
    <t xml:space="preserve">Pintu Kamuflase Gypsum + Frame Hollow Blacksteel + Handle/Lock/Kunci/Engsel Ex. Dekkson</t>
  </si>
  <si>
    <t xml:space="preserve">GS-04</t>
  </si>
  <si>
    <t xml:space="preserve">Plafond Wiremesh + Hollow Blacksteel</t>
  </si>
  <si>
    <t xml:space="preserve">AHSP - Rincian Komponen</t>
  </si>
  <si>
    <t xml:space="preserve">Rincian bahan/upah/alat untuk item AHSP bermode 'Detail'. Subtotal per Kode otomatis dijumlahkan ke sheet AHSP.</t>
  </si>
  <si>
    <t xml:space="preserve">Kode AHSP</t>
  </si>
  <si>
    <t xml:space="preserve">Jenis</t>
  </si>
  <si>
    <t xml:space="preserve">Uraian</t>
  </si>
  <si>
    <t xml:space="preserve">Koefisien</t>
  </si>
  <si>
    <t xml:space="preserve">Bahan</t>
  </si>
  <si>
    <t xml:space="preserve">Bata Merah</t>
  </si>
  <si>
    <t xml:space="preserve">bh</t>
  </si>
  <si>
    <t xml:space="preserve">Semen PC</t>
  </si>
  <si>
    <t xml:space="preserve">Pasir Pasang</t>
  </si>
  <si>
    <t xml:space="preserve">m3</t>
  </si>
  <si>
    <t xml:space="preserve">Upah</t>
  </si>
  <si>
    <t xml:space="preserve">Tukang Batu</t>
  </si>
  <si>
    <t xml:space="preserve">OH</t>
  </si>
  <si>
    <t xml:space="preserve">Pekerja</t>
  </si>
  <si>
    <t xml:space="preserve">Gypsum Board 9mm</t>
  </si>
  <si>
    <t xml:space="preserve">lembar</t>
  </si>
  <si>
    <t xml:space="preserve">Hollow 4x4</t>
  </si>
  <si>
    <t xml:space="preserve">m1</t>
  </si>
  <si>
    <t xml:space="preserve">Tukang</t>
  </si>
  <si>
    <t xml:space="preserve">Besi WF</t>
  </si>
  <si>
    <t xml:space="preserve">Cat Besi</t>
  </si>
  <si>
    <t xml:space="preserve">Tukang Las</t>
  </si>
  <si>
    <t xml:space="preserve">RAB — Rencana Anggaran Biaya</t>
  </si>
  <si>
    <t xml:space="preserve">Satu baris = satu dokumen RAB. Isi item pekerjaannya di sheet 'RAB - Item' (Nama Proyek harus sama persis).</t>
  </si>
  <si>
    <t xml:space="preserve">Nama Proyek</t>
  </si>
  <si>
    <t xml:space="preserve">Klien</t>
  </si>
  <si>
    <t xml:space="preserve">Lokasi</t>
  </si>
  <si>
    <t xml:space="preserve">Subtotal</t>
  </si>
  <si>
    <t xml:space="preserve">PPN %</t>
  </si>
  <si>
    <t xml:space="preserve">Nilai PPN</t>
  </si>
  <si>
    <t xml:space="preserve">PPh %</t>
  </si>
  <si>
    <t xml:space="preserve">Nilai PPh</t>
  </si>
  <si>
    <t xml:space="preserve">Total RAB</t>
  </si>
  <si>
    <t xml:space="preserve">RAB - Item Pekerjaan</t>
  </si>
  <si>
    <t xml:space="preserve">Nama Proyek harus sama persis dengan sheet RAB. Isi 'Kode AHSP' untuk melihat harga referensi dari AHSP (kolom bantu, tidak otomatis menimpa Harga Satuan).</t>
  </si>
  <si>
    <t xml:space="preserve">Volume</t>
  </si>
  <si>
    <t xml:space="preserve">Kode AHSP (opsional)</t>
  </si>
  <si>
    <t xml:space="preserve">Harga dari AHSP</t>
  </si>
  <si>
    <t xml:space="preserve">Penawaran Harga</t>
  </si>
  <si>
    <t xml:space="preserve">Satu baris = satu surat penawaran. Isi itemnya di sheet 'Penawaran - Item' (No Surat harus sama persis). Buka sheet 'Cetak Penawaran' untuk mencetak versi surat resmi.</t>
  </si>
  <si>
    <t xml:space="preserve">No Surat</t>
  </si>
  <si>
    <t xml:space="preserve">Kepada Yth</t>
  </si>
  <si>
    <t xml:space="preserve">Alamat Klien</t>
  </si>
  <si>
    <t xml:space="preserve">Perihal</t>
  </si>
  <si>
    <t xml:space="preserve">Diskon %</t>
  </si>
  <si>
    <t xml:space="preserve">Nilai Diskon</t>
  </si>
  <si>
    <t xml:space="preserve">Total Penawaran</t>
  </si>
  <si>
    <t xml:space="preserve">Syarat &amp; Ketentuan</t>
  </si>
  <si>
    <t xml:space="preserve">Kalimat Penutup</t>
  </si>
  <si>
    <t xml:space="preserve">Nama Penandatangan</t>
  </si>
  <si>
    <t xml:space="preserve">Jabatan Penandatangan</t>
  </si>
  <si>
    <t xml:space="preserve">Penawaran - Item Pekerjaan</t>
  </si>
  <si>
    <t xml:space="preserve">No Surat harus sama persis dengan sheet Penawaran Harga. Kolom 'Kunci' dipakai otomatis oleh sheet Cetak Penawaran, jangan diubah.</t>
  </si>
  <si>
    <t xml:space="preserve">Kunci</t>
  </si>
  <si>
    <t xml:space="preserve">Pilih No Surat:</t>
  </si>
  <si>
    <t xml:space="preserve">SURAT PENAWARAN HARGA</t>
  </si>
  <si>
    <t xml:space="preserve">Alamat</t>
  </si>
  <si>
    <t xml:space="preserve">Diskon</t>
  </si>
  <si>
    <t xml:space="preserve">PPN</t>
  </si>
  <si>
    <t xml:space="preserve">PPh</t>
  </si>
  <si>
    <t xml:space="preserve">TOTAL PENAWARAN</t>
  </si>
  <si>
    <t xml:space="preserve">Pengaturan</t>
  </si>
  <si>
    <t xml:space="preserve">Identitas perusahaan dipakai otomatis di semua dokumen cetak (Penawaran, Slip Gaji).</t>
  </si>
  <si>
    <t xml:space="preserve">Nama Perusahaan</t>
  </si>
  <si>
    <t xml:space="preserve">CV Mitra Creative</t>
  </si>
  <si>
    <t xml:space="preserve">Jl. Taman Asri No. 15, Pedurungan Tengah, Semarang</t>
  </si>
  <si>
    <t xml:space="preserve">Telepon</t>
  </si>
  <si>
    <t xml:space="preserve">0895811220203</t>
  </si>
  <si>
    <t xml:space="preserve">Nama Penandatangan (Owner)</t>
  </si>
  <si>
    <t xml:space="preserve">Aditya Khresna</t>
  </si>
  <si>
    <t xml:space="preserve">Owner / Direktur</t>
  </si>
  <si>
    <t xml:space="preserve">Catatan: file ini adalah workbook Excel operasional pengganti/pendamping website. Semua kalkulasi berjalan otomatis lewat rumus (tidak perlu macro untuk itu). Macro VBA (Tambah Transaksi, Cetak Slip Gaji, dst.) ada di file terpisah MitraCreative_Macros.bas — import sekali ke Excel (Alt+F11 &gt; File &gt; Import File), lalu Save As &gt; Excel Macro-Enabled Workbook (.xlsm). Setelah itu jalankan lewat Alt+F8 (View Macros), atau gambar tombol sendiri (Developer &gt; Insert &gt; Button) dan pilih macro-nya dari daftar.</t>
  </si>
  <si>
    <t xml:space="preserve">Daftar Macro (setelah di-import — lihat catatan di atas — jalankan lewat Alt+F8 / Developer &gt; Macros)</t>
  </si>
  <si>
    <t xml:space="preserve">Macro</t>
  </si>
  <si>
    <t xml:space="preserve">Fungsi</t>
  </si>
  <si>
    <t xml:space="preserve">Jalankan dari sheet</t>
  </si>
  <si>
    <t xml:space="preserve">TambahTransUsaha</t>
  </si>
  <si>
    <t xml:space="preserve">Tambah baris transaksi kas usaha baru (siap diisi)</t>
  </si>
  <si>
    <t xml:space="preserve">TambahTransPribadi</t>
  </si>
  <si>
    <t xml:space="preserve">Tambah baris transaksi kas pribadi baru</t>
  </si>
  <si>
    <t xml:space="preserve">TambahProyek</t>
  </si>
  <si>
    <t xml:space="preserve">Tambah baris proyek baru untuk hitung margin</t>
  </si>
  <si>
    <t xml:space="preserve">Margin Proyek</t>
  </si>
  <si>
    <t xml:space="preserve">TambahKaryawan</t>
  </si>
  <si>
    <t xml:space="preserve">Tambah baris karyawan baru</t>
  </si>
  <si>
    <t xml:space="preserve">Karyawan</t>
  </si>
  <si>
    <t xml:space="preserve">TambahAbsensi</t>
  </si>
  <si>
    <t xml:space="preserve">Tambah satu baris absensi manual</t>
  </si>
  <si>
    <t xml:space="preserve">CatatAbsensiHariIni</t>
  </si>
  <si>
    <t xml:space="preserve">Catat hadir otomatis untuk semua karyawan aktif hari ini</t>
  </si>
  <si>
    <t xml:space="preserve">TambahSlipGaji</t>
  </si>
  <si>
    <t xml:space="preserve">Tambah baris slip gaji baru (periode minggu berjalan)</t>
  </si>
  <si>
    <t xml:space="preserve">CetakSlipGaji</t>
  </si>
  <si>
    <t xml:space="preserve">Cetak slip gaji dari baris yang sedang dipilih</t>
  </si>
  <si>
    <t xml:space="preserve">CetakSlipGajiLangsung</t>
  </si>
  <si>
    <t xml:space="preserve">Cetak ulang slip gaji sesuai No Slip di sheet Cetak</t>
  </si>
  <si>
    <t xml:space="preserve">Cetak Slip Gaji</t>
  </si>
  <si>
    <t xml:space="preserve">TambahBarangStok</t>
  </si>
  <si>
    <t xml:space="preserve">Tambah barang stok baru</t>
  </si>
  <si>
    <t xml:space="preserve">CatatTransaksiStok</t>
  </si>
  <si>
    <t xml:space="preserve">Catat transaksi barang masuk/keluar</t>
  </si>
  <si>
    <t xml:space="preserve">Stok - Riwayat</t>
  </si>
  <si>
    <t xml:space="preserve">TambahItemAHSP</t>
  </si>
  <si>
    <t xml:space="preserve">Tambah item AHSP baru</t>
  </si>
  <si>
    <t xml:space="preserve">AHSP</t>
  </si>
  <si>
    <t xml:space="preserve">TambahKomponenAHSP</t>
  </si>
  <si>
    <t xml:space="preserve">Tambah baris komponen AHSP baru</t>
  </si>
  <si>
    <t xml:space="preserve">AHSP - Komponen</t>
  </si>
  <si>
    <t xml:space="preserve">TambahRAB</t>
  </si>
  <si>
    <t xml:space="preserve">Tambah dokumen RAB baru</t>
  </si>
  <si>
    <t xml:space="preserve">RAB</t>
  </si>
  <si>
    <t xml:space="preserve">TambahItemRAB</t>
  </si>
  <si>
    <t xml:space="preserve">Tambah item pekerjaan RAB baru</t>
  </si>
  <si>
    <t xml:space="preserve">RAB - Item</t>
  </si>
  <si>
    <t xml:space="preserve">TambahPenawaran</t>
  </si>
  <si>
    <t xml:space="preserve">Tambah surat penawaran baru (Syarat/Penutup default terisi)</t>
  </si>
  <si>
    <t xml:space="preserve">TambahItemPenawaran</t>
  </si>
  <si>
    <t xml:space="preserve">Tambah item pekerjaan penawaran baru</t>
  </si>
  <si>
    <t xml:space="preserve">Penawaran - Item</t>
  </si>
  <si>
    <t xml:space="preserve">CetakPenawaran</t>
  </si>
  <si>
    <t xml:space="preserve">Cetak penawaran dari baris yang sedang dipilih</t>
  </si>
  <si>
    <t xml:space="preserve">CetakPenawaranLangsung</t>
  </si>
  <si>
    <t xml:space="preserve">Cetak ulang penawaran sesuai No Surat di sheet Cetak</t>
  </si>
  <si>
    <t xml:space="preserve">Cetak Penawaran</t>
  </si>
  <si>
    <t xml:space="preserve">RefreshDashboard</t>
  </si>
  <si>
    <t xml:space="preserve">Paksa hitung ulang semua rumus di seluruh workbook</t>
  </si>
  <si>
    <t xml:space="preserve">sheet mana saja</t>
  </si>
  <si>
    <t xml:space="preserve">SortKey</t>
  </si>
  <si>
    <t xml:space="preserve">Rank</t>
  </si>
  <si>
    <t xml:space="preserve">KategoriUsaha</t>
  </si>
  <si>
    <t xml:space="preserve">KategoriPribadi</t>
  </si>
  <si>
    <t xml:space="preserve">SumberDanaPribadi</t>
  </si>
  <si>
    <t xml:space="preserve">TipeTransaksi</t>
  </si>
  <si>
    <t xml:space="preserve">StatusTransaksi</t>
  </si>
  <si>
    <t xml:space="preserve">KategoriPekerjaan</t>
  </si>
  <si>
    <t xml:space="preserve">SatuanList</t>
  </si>
  <si>
    <t xml:space="preserve">JenisKomponen</t>
  </si>
  <si>
    <t xml:space="preserve">KategoriStok</t>
  </si>
  <si>
    <t xml:space="preserve">SatuanStok</t>
  </si>
  <si>
    <t xml:space="preserve">TipeGaji</t>
  </si>
  <si>
    <t xml:space="preserve">StatusKaryawan</t>
  </si>
  <si>
    <t xml:space="preserve">ModeAHSP</t>
  </si>
  <si>
    <t xml:space="preserve">StatusPenawaran</t>
  </si>
  <si>
    <t xml:space="preserve">HadirList</t>
  </si>
  <si>
    <t xml:space="preserve">Material</t>
  </si>
  <si>
    <t xml:space="preserve">pcs</t>
  </si>
  <si>
    <t xml:space="preserve">Harian</t>
  </si>
  <si>
    <t xml:space="preserve">Aktif</t>
  </si>
  <si>
    <t xml:space="preserve">Draft</t>
  </si>
  <si>
    <t xml:space="preserve">Ya</t>
  </si>
  <si>
    <t xml:space="preserve">Pendapatan Lain-lain</t>
  </si>
  <si>
    <t xml:space="preserve">Tabungan Pribadi</t>
  </si>
  <si>
    <t xml:space="preserve">Alat</t>
  </si>
  <si>
    <t xml:space="preserve">Bulanan</t>
  </si>
  <si>
    <t xml:space="preserve">Nonaktif</t>
  </si>
  <si>
    <t xml:space="preserve">Terkirim</t>
  </si>
  <si>
    <t xml:space="preserve">Tidak</t>
  </si>
  <si>
    <t xml:space="preserve">Tagihan/Utilitas</t>
  </si>
  <si>
    <t xml:space="preserve">Lainnya</t>
  </si>
  <si>
    <t xml:space="preserve">Disetujui</t>
  </si>
  <si>
    <t xml:space="preserve">Biaya Upah/Tenaga</t>
  </si>
  <si>
    <t xml:space="preserve">Cicilan/Utang</t>
  </si>
  <si>
    <t xml:space="preserve">Ditolak</t>
  </si>
  <si>
    <t xml:space="preserve">Biaya Operasional</t>
  </si>
  <si>
    <t xml:space="preserve">Kesehatan</t>
  </si>
  <si>
    <t xml:space="preserve">titik</t>
  </si>
  <si>
    <t xml:space="preserve">Biaya Transport</t>
  </si>
  <si>
    <t xml:space="preserve">Pendidikan</t>
  </si>
  <si>
    <t xml:space="preserve">Biaya Alat</t>
  </si>
  <si>
    <t xml:space="preserve">Hiburan</t>
  </si>
  <si>
    <t xml:space="preserve">CCTV</t>
  </si>
  <si>
    <t xml:space="preserve">liter</t>
  </si>
  <si>
    <t xml:space="preserve">Biaya Lain-lain</t>
  </si>
  <si>
    <t xml:space="preserve">AC</t>
  </si>
  <si>
    <t xml:space="preserve">org/hari</t>
  </si>
  <si>
    <t xml:space="preserve">batang</t>
  </si>
  <si>
    <t xml:space="preserve">Instalasi Listrik</t>
  </si>
  <si>
    <t xml:space="preserve">ls</t>
  </si>
  <si>
    <t xml:space="preserve">dus</t>
  </si>
  <si>
    <t xml:space="preserve">roll</t>
  </si>
  <si>
    <t xml:space="preserve">set</t>
  </si>
  <si>
    <t xml:space="preserve">sak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</si>
</sst>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&quot;Rp&quot;#,##0;[RED]&quot;-Rp&quot;#,##0"/>
    <numFmt numFmtId="166" formatCode="dd/mm/yyyy"/>
    <numFmt numFmtId="167" formatCode="0.0%"/>
    <numFmt numFmtId="168" formatCode="0"/>
    <numFmt numFmtId="169" formatCode="0.##"/>
    <numFmt numFmtId="170" formatCode="0.####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B0B0B"/>
      <name val="Arial"/>
      <family val="0"/>
      <charset val="1"/>
    </font>
    <font>
      <i val="true"/>
      <sz val="9"/>
      <color rgb="FF898781"/>
      <name val="Arial"/>
      <family val="0"/>
      <charset val="1"/>
    </font>
    <font>
      <sz val="8.5"/>
      <color rgb="FF898781"/>
      <name val="Arial"/>
      <family val="0"/>
      <charset val="1"/>
    </font>
    <font>
      <b val="true"/>
      <sz val="13"/>
      <color rgb="FF0B0B0B"/>
      <name val="Arial"/>
      <family val="0"/>
      <charset val="1"/>
    </font>
    <font>
      <b val="true"/>
      <sz val="13"/>
      <color rgb="FFC985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9.5"/>
      <color rgb="FFFFFFFF"/>
      <name val="Arial"/>
      <family val="0"/>
      <charset val="1"/>
    </font>
    <font>
      <sz val="10.5"/>
      <color rgb="FF0B0B0B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.5"/>
      <color rgb="FF0000FF"/>
      <name val="Arial"/>
      <family val="0"/>
      <charset val="1"/>
    </font>
    <font>
      <b val="true"/>
      <sz val="14"/>
      <name val="Arial"/>
      <family val="0"/>
      <charset val="1"/>
    </font>
    <font>
      <sz val="9"/>
      <color rgb="FF898781"/>
      <name val="Arial"/>
      <family val="0"/>
      <charset val="1"/>
    </font>
    <font>
      <b val="true"/>
      <sz val="12"/>
      <name val="Arial"/>
      <family val="0"/>
      <charset val="1"/>
    </font>
    <font>
      <sz val="11"/>
      <name val="Arial"/>
      <family val="0"/>
      <charset val="1"/>
    </font>
    <font>
      <b val="true"/>
      <u val="single"/>
      <sz val="11"/>
      <name val="Arial"/>
      <family val="0"/>
      <charset val="1"/>
    </font>
    <font>
      <b val="true"/>
      <sz val="10.5"/>
      <name val="Arial"/>
      <family val="0"/>
      <charset val="1"/>
    </font>
    <font>
      <i val="true"/>
      <sz val="8.5"/>
      <color rgb="FF898781"/>
      <name val="Arial"/>
      <family val="0"/>
      <charset val="1"/>
    </font>
    <font>
      <sz val="9.5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2A78D6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1E0D9"/>
      </left>
      <right style="thin">
        <color rgb="FFE1E0D9"/>
      </right>
      <top style="thin">
        <color rgb="FFE1E0D9"/>
      </top>
      <bottom style="thin">
        <color rgb="FFE1E0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8" fillId="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9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 patternType="solid">
          <fgColor rgb="FF2A78D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CA30C"/>
          <bgColor rgb="FF000000"/>
        </patternFill>
      </fill>
    </dxf>
    <dxf>
      <fill>
        <patternFill patternType="solid">
          <fgColor rgb="FFC98500"/>
          <bgColor rgb="FF000000"/>
        </patternFill>
      </fill>
    </dxf>
    <dxf>
      <font>
        <b val="1"/>
        <color rgb="FF2A78D6"/>
      </font>
    </dxf>
    <dxf>
      <font>
        <b val="1"/>
        <color rgb="FFEB6834"/>
      </font>
    </dxf>
    <dxf>
      <font>
        <b val="1"/>
        <color rgb="FF0CA30C"/>
      </font>
    </dxf>
    <dxf>
      <font>
        <b val="1"/>
        <color rgb="FFC98500"/>
      </font>
    </dxf>
    <dxf>
      <fill>
        <patternFill patternType="solid">
          <fgColor rgb="FFEB6834"/>
          <bgColor rgb="FF000000"/>
        </patternFill>
      </fill>
    </dxf>
    <dxf>
      <fill>
        <patternFill patternType="solid">
          <fgColor rgb="FF0B0B0B"/>
          <bgColor rgb="FF000000"/>
        </patternFill>
      </fill>
    </dxf>
    <dxf>
      <font>
        <b val="1"/>
        <color rgb="FFD03B3B"/>
      </font>
    </dxf>
    <dxf>
      <font>
        <i val="1"/>
        <color rgb="FF898781"/>
      </font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CA30C"/>
      <rgbColor rgb="FF000080"/>
      <rgbColor rgb="FF808000"/>
      <rgbColor rgb="FF800080"/>
      <rgbColor rgb="FF008080"/>
      <rgbColor rgb="FFC0C0C0"/>
      <rgbColor rgb="FF878787"/>
      <rgbColor rgb="FF9999FF"/>
      <rgbColor rgb="FFD03B3B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1E0D9"/>
      <rgbColor rgb="FFFFFF99"/>
      <rgbColor rgb="FF99CCFF"/>
      <rgbColor rgb="FFFF99CC"/>
      <rgbColor rgb="FFCC99FF"/>
      <rgbColor rgb="FFFFCC99"/>
      <rgbColor rgb="FF2A78D6"/>
      <rgbColor rgb="FF33CCCC"/>
      <rgbColor rgb="FF99CC00"/>
      <rgbColor rgb="FFFFCC00"/>
      <rgbColor rgb="FFC98500"/>
      <rgbColor rgb="FFEB6834"/>
      <rgbColor rgb="FF666699"/>
      <rgbColor rgb="FF898781"/>
      <rgbColor rgb="FF003366"/>
      <rgbColor rgb="FF1BAF7A"/>
      <rgbColor rgb="FF0B0B0B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Pemasukan vs Pengeluaran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Dashboard!G3</c:f>
              <c:strCache>
                <c:ptCount val="1"/>
                <c:pt idx="0">
                  <c:v>Nilai</c:v>
                </c:pt>
              </c:strCache>
            </c:strRef>
          </c:tx>
          <c:spPr>
            <a:solidFill>
              <a:srgbClr val="2a78d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Dashboard!$F$4:$F$7</c:f>
              <c:strCache>
                <c:ptCount val="4"/>
                <c:pt idx="0">
                  <c:v>Usaha - Masuk</c:v>
                </c:pt>
                <c:pt idx="1">
                  <c:v>Usaha - Keluar</c:v>
                </c:pt>
                <c:pt idx="2">
                  <c:v>Pribadi - Masuk</c:v>
                </c:pt>
                <c:pt idx="3">
                  <c:v>Pribadi - Keluar</c:v>
                </c:pt>
              </c:strCache>
            </c:strRef>
          </c:cat>
          <c:val>
            <c:numRef>
              <c:f>Dashboard!$G$4:$G$7</c:f>
              <c:numCache>
                <c:formatCode>"Rp"#,##0;[RED]"-Rp"#,##0</c:formatCode>
                <c:ptCount val="4"/>
                <c:pt idx="0">
                  <c:v>135555000</c:v>
                </c:pt>
                <c:pt idx="1">
                  <c:v>0</c:v>
                </c:pt>
                <c:pt idx="2">
                  <c:v>6000000</c:v>
                </c:pt>
                <c:pt idx="3">
                  <c:v>2500000</c:v>
                </c:pt>
              </c:numCache>
            </c:numRef>
          </c:val>
        </c:ser>
        <c:gapWidth val="150"/>
        <c:overlap val="0"/>
        <c:axId val="16073785"/>
        <c:axId val="18403217"/>
      </c:barChart>
      <c:catAx>
        <c:axId val="1607378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403217"/>
        <c:crosses val="autoZero"/>
        <c:auto val="1"/>
        <c:lblAlgn val="ctr"/>
        <c:lblOffset val="100"/>
        <c:noMultiLvlLbl val="0"/>
      </c:catAx>
      <c:valAx>
        <c:axId val="1840321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Rp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Rp&quot;#,##0;[RED]&quot;-Rp&quot;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07378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Margin per Proyek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'Margin Proyek'!H7</c:f>
              <c:strCache>
                <c:ptCount val="1"/>
                <c:pt idx="0">
                  <c:v>Margin %</c:v>
                </c:pt>
              </c:strCache>
            </c:strRef>
          </c:tx>
          <c:spPr>
            <a:solidFill>
              <a:srgbClr val="1baf7a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'Margin Proyek'!$A$8:$A$47</c:f>
              <c:strCache>
                <c:ptCount val="40"/>
                <c:pt idx="0">
                  <c:v>Klien A - Signage Toko (Repeat Order Jan)</c:v>
                </c:pt>
                <c:pt idx="1">
                  <c:v>Klien B - Branding Interior Kantor</c:v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  <c:pt idx="30">
                  <c:v/>
                </c:pt>
                <c:pt idx="31">
                  <c:v/>
                </c:pt>
                <c:pt idx="32">
                  <c:v/>
                </c:pt>
                <c:pt idx="33">
                  <c:v/>
                </c:pt>
                <c:pt idx="34">
                  <c:v/>
                </c:pt>
                <c:pt idx="35">
                  <c:v/>
                </c:pt>
                <c:pt idx="36">
                  <c:v/>
                </c:pt>
                <c:pt idx="37">
                  <c:v/>
                </c:pt>
                <c:pt idx="38">
                  <c:v/>
                </c:pt>
                <c:pt idx="39">
                  <c:v/>
                </c:pt>
              </c:strCache>
            </c:strRef>
          </c:cat>
          <c:val>
            <c:numRef>
              <c:f>'Margin Proyek'!$H$8:$H$47</c:f>
              <c:numCache>
                <c:formatCode>0.0%</c:formatCode>
                <c:ptCount val="40"/>
                <c:pt idx="0">
                  <c:v>0.433333333333333</c:v>
                </c:pt>
                <c:pt idx="1">
                  <c:v>0.35</c:v>
                </c:pt>
              </c:numCache>
            </c:numRef>
          </c:val>
        </c:ser>
        <c:gapWidth val="150"/>
        <c:overlap val="0"/>
        <c:axId val="28996327"/>
        <c:axId val="17459093"/>
      </c:barChart>
      <c:catAx>
        <c:axId val="28996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459093"/>
        <c:crosses val="autoZero"/>
        <c:auto val="1"/>
        <c:lblAlgn val="ctr"/>
        <c:lblOffset val="100"/>
        <c:noMultiLvlLbl val="0"/>
      </c:catAx>
      <c:valAx>
        <c:axId val="1745909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99632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7</xdr:row>
      <xdr:rowOff>130680</xdr:rowOff>
    </xdr:from>
    <xdr:to>
      <xdr:col>2</xdr:col>
      <xdr:colOff>52560</xdr:colOff>
      <xdr:row>21</xdr:row>
      <xdr:rowOff>181440</xdr:rowOff>
    </xdr:to>
    <xdr:graphicFrame>
      <xdr:nvGraphicFramePr>
        <xdr:cNvPr id="0" name="Chart 1"/>
        <xdr:cNvGraphicFramePr/>
      </xdr:nvGraphicFramePr>
      <xdr:xfrm>
        <a:off x="0" y="160956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7</xdr:row>
      <xdr:rowOff>130680</xdr:rowOff>
    </xdr:from>
    <xdr:to>
      <xdr:col>12</xdr:col>
      <xdr:colOff>525600</xdr:colOff>
      <xdr:row>21</xdr:row>
      <xdr:rowOff>181440</xdr:rowOff>
    </xdr:to>
    <xdr:graphicFrame>
      <xdr:nvGraphicFramePr>
        <xdr:cNvPr id="1" name="Chart 2"/>
        <xdr:cNvGraphicFramePr/>
      </xdr:nvGraphicFramePr>
      <xdr:xfrm>
        <a:off x="10810800" y="160956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Absensi" displayName="TblAbsensi" ref="A3:D153" headerRowCount="1" totalsRowCount="0" totalsRowShown="0">
  <autoFilter ref="A3:D153"/>
  <tableColumns count="4">
    <tableColumn id="1" name="Tanggal"/>
    <tableColumn id="2" name="Nama Karyawan"/>
    <tableColumn id="3" name="Hadir"/>
    <tableColumn id="4" name="Jam Lembur"/>
  </tableColumns>
</table>
</file>

<file path=xl/tables/table2.xml><?xml version="1.0" encoding="utf-8"?>
<table xmlns="http://schemas.openxmlformats.org/spreadsheetml/2006/main" id="2" name="TblAHSP" displayName="TblAHSP" ref="A3:I43" headerRowCount="1" totalsRowCount="0" totalsRowShown="0">
  <autoFilter ref="A3:I43"/>
  <tableColumns count="9">
    <tableColumn id="1" name="Kategori"/>
    <tableColumn id="2" name="Kode"/>
    <tableColumn id="3" name="Uraian Pekerjaan"/>
    <tableColumn id="4" name="Satuan"/>
    <tableColumn id="5" name="Mode"/>
    <tableColumn id="6" name="Harga Manual"/>
    <tableColumn id="7" name="Overhead %"/>
    <tableColumn id="8" name="Subtotal Komponen"/>
    <tableColumn id="9" name="Harga Satuan Final"/>
  </tableColumns>
</table>
</file>

<file path=xl/tables/table3.xml><?xml version="1.0" encoding="utf-8"?>
<table xmlns="http://schemas.openxmlformats.org/spreadsheetml/2006/main" id="3" name="TblAHSPKomponen" displayName="TblAHSPKomponen" ref="A7:G87" headerRowCount="1" totalsRowCount="0" totalsRowShown="0">
  <autoFilter ref="A7:G87"/>
  <tableColumns count="7">
    <tableColumn id="1" name="Kode AHSP"/>
    <tableColumn id="2" name="Jenis"/>
    <tableColumn id="3" name="Uraian"/>
    <tableColumn id="4" name="Satuan"/>
    <tableColumn id="5" name="Koefisien"/>
    <tableColumn id="6" name="Harga Satuan"/>
    <tableColumn id="7" name="Jumlah"/>
  </tableColumns>
</table>
</file>

<file path=xl/tables/table4.xml><?xml version="1.0" encoding="utf-8"?>
<table xmlns="http://schemas.openxmlformats.org/spreadsheetml/2006/main" id="4" name="TblKaryawan" displayName="TblKaryawan" ref="A7:L37" headerRowCount="1" totalsRowCount="0" totalsRowShown="0">
  <autoFilter ref="A7:L37"/>
  <tableColumns count="12">
    <tableColumn id="1" name="Nama"/>
    <tableColumn id="2" name="Jabatan"/>
    <tableColumn id="3" name="Tipe Gaji"/>
    <tableColumn id="4" name="Status"/>
    <tableColumn id="5" name="Upah Harian"/>
    <tableColumn id="6" name="Tarif Lembur/Jam"/>
    <tableColumn id="7" name="Uang Makan/Hari"/>
    <tableColumn id="8" name="Gaji Bulanan"/>
    <tableColumn id="9" name="Target Bulanan"/>
    <tableColumn id="10" name="% Bonus"/>
    <tableColumn id="11" name="Pinjaman Awal"/>
    <tableColumn id="12" name="Sisa Pinjaman"/>
  </tableColumns>
</table>
</file>

<file path=xl/tables/table5.xml><?xml version="1.0" encoding="utf-8"?>
<table xmlns="http://schemas.openxmlformats.org/spreadsheetml/2006/main" id="5" name="TblKasPribadi" displayName="TblKasPribadi" ref="A7:F67" headerRowCount="1" totalsRowCount="0" totalsRowShown="0">
  <autoFilter ref="A7:F67"/>
  <tableColumns count="6">
    <tableColumn id="1" name="Tanggal"/>
    <tableColumn id="2" name="Keterangan"/>
    <tableColumn id="3" name="Kategori"/>
    <tableColumn id="4" name="Sumber Dana"/>
    <tableColumn id="5" name="Tipe"/>
    <tableColumn id="6" name="Jumlah"/>
  </tableColumns>
</table>
</file>

<file path=xl/tables/table6.xml><?xml version="1.0" encoding="utf-8"?>
<table xmlns="http://schemas.openxmlformats.org/spreadsheetml/2006/main" id="6" name="TblKasUsaha" displayName="TblKasUsaha" ref="A7:G127" headerRowCount="1" totalsRowCount="0" totalsRowShown="0">
  <autoFilter ref="A7:G127"/>
  <tableColumns count="7">
    <tableColumn id="1" name="Tanggal"/>
    <tableColumn id="2" name="Keterangan"/>
    <tableColumn id="3" name="Kategori"/>
    <tableColumn id="4" name="Klien/Proyek"/>
    <tableColumn id="5" name="Tipe"/>
    <tableColumn id="6" name="Status"/>
    <tableColumn id="7" name="Jumlah"/>
  </tableColumns>
</table>
</file>

<file path=xl/tables/table7.xml><?xml version="1.0" encoding="utf-8"?>
<table xmlns="http://schemas.openxmlformats.org/spreadsheetml/2006/main" id="7" name="TblMarginProyek" displayName="TblMarginProyek" ref="A7:I47" headerRowCount="1" totalsRowCount="0" totalsRowShown="0">
  <autoFilter ref="A7:I47"/>
  <tableColumns count="9">
    <tableColumn id="1" name="Nama Proyek / Klien"/>
    <tableColumn id="2" name="Nilai Kontrak"/>
    <tableColumn id="3" name="Biaya Bahan"/>
    <tableColumn id="4" name="Biaya Upah"/>
    <tableColumn id="5" name="Biaya Lain"/>
    <tableColumn id="6" name="Total Biaya"/>
    <tableColumn id="7" name="Margin"/>
    <tableColumn id="8" name="Margin %"/>
    <tableColumn id="9" name="Status"/>
  </tableColumns>
</table>
</file>

<file path=xl/tables/table8.xml><?xml version="1.0" encoding="utf-8"?>
<table xmlns="http://schemas.openxmlformats.org/spreadsheetml/2006/main" id="8" name="TblPenawaran" displayName="TblPenawaran" ref="A3:S33" headerRowCount="1" totalsRowCount="0" totalsRowShown="0">
  <autoFilter ref="A3:S33"/>
  <tableColumns count="19">
    <tableColumn id="1" name="No Surat"/>
    <tableColumn id="2" name="Tanggal"/>
    <tableColumn id="3" name="Kepada Yth"/>
    <tableColumn id="4" name="Alamat Klien"/>
    <tableColumn id="5" name="Perihal"/>
    <tableColumn id="6" name="Kategori"/>
    <tableColumn id="7" name="Status"/>
    <tableColumn id="8" name="Subtotal"/>
    <tableColumn id="9" name="Diskon %"/>
    <tableColumn id="10" name="Nilai Diskon"/>
    <tableColumn id="11" name="PPN %"/>
    <tableColumn id="12" name="Nilai PPN"/>
    <tableColumn id="13" name="PPh %"/>
    <tableColumn id="14" name="Nilai PPh"/>
    <tableColumn id="15" name="Total Penawaran"/>
    <tableColumn id="16" name="Syarat &amp; Ketentuan"/>
    <tableColumn id="17" name="Kalimat Penutup"/>
    <tableColumn id="18" name="Nama Penandatangan"/>
    <tableColumn id="19" name="Jabatan Penandatangan"/>
  </tableColumns>
</table>
</file>

<file path=xl/tables/table9.xml><?xml version="1.0" encoding="utf-8"?>
<table xmlns="http://schemas.openxmlformats.org/spreadsheetml/2006/main" id="9" name="TblPenawaranItem" displayName="TblPenawaranItem" ref="A7:I157" headerRowCount="1" totalsRowCount="0" totalsRowShown="0">
  <autoFilter ref="A7:I157"/>
  <tableColumns count="9">
    <tableColumn id="1" name="No Surat"/>
    <tableColumn id="2" name="Uraian Pekerjaan"/>
    <tableColumn id="3" name="Satuan"/>
    <tableColumn id="4" name="Volume"/>
    <tableColumn id="5" name="Harga Satuan"/>
    <tableColumn id="6" name="Jumlah"/>
    <tableColumn id="7" name="Kode AHSP (opsional)"/>
    <tableColumn id="8" name="Harga dari AHSP"/>
    <tableColumn id="9" name="Kunci"/>
  </tableColumns>
</table>
</file>

<file path=xl/tables/table10.xml><?xml version="1.0" encoding="utf-8"?>
<table xmlns="http://schemas.openxmlformats.org/spreadsheetml/2006/main" id="10" name="TblPenggajian" displayName="TblPenggajian" ref="A2:X82" headerRowCount="1" totalsRowCount="0" totalsRowShown="0">
  <autoFilter ref="A2:X82"/>
  <tableColumns count="24">
    <tableColumn id="1" name="No"/>
    <tableColumn id="2" name="Nama Karyawan"/>
    <tableColumn id="3" name="Jabatan"/>
    <tableColumn id="4" name="Tipe Gaji"/>
    <tableColumn id="5" name="Periode Mulai"/>
    <tableColumn id="6" name="Periode Selesai"/>
    <tableColumn id="7" name="Hari Hadir"/>
    <tableColumn id="8" name="Upah Harian"/>
    <tableColumn id="9" name="Total Upah Harian"/>
    <tableColumn id="10" name="Jam Lembur"/>
    <tableColumn id="11" name="Tarif Lembur"/>
    <tableColumn id="12" name="Total Lembur"/>
    <tableColumn id="13" name="Gaji Bulanan"/>
    <tableColumn id="14" name="Target"/>
    <tableColumn id="15" name="Realisasi"/>
    <tableColumn id="16" name="% Bonus"/>
    <tableColumn id="17" name="Bonus Target"/>
    <tableColumn id="18" name="Upah Kotor"/>
    <tableColumn id="19" name="Uang Makan"/>
    <tableColumn id="20" name="Bon"/>
    <tableColumn id="21" name="Potongan Pinjaman"/>
    <tableColumn id="22" name="Sisa Sebelum"/>
    <tableColumn id="23" name="Sisa Sesudah"/>
    <tableColumn id="24" name="Gaji Bersih"/>
  </tableColumns>
</table>
</file>

<file path=xl/tables/table11.xml><?xml version="1.0" encoding="utf-8"?>
<table xmlns="http://schemas.openxmlformats.org/spreadsheetml/2006/main" id="11" name="TblRAB" displayName="TblRAB" ref="A3:L33" headerRowCount="1" totalsRowCount="0" totalsRowShown="0">
  <autoFilter ref="A3:L33"/>
  <tableColumns count="12">
    <tableColumn id="1" name="Nama Proyek"/>
    <tableColumn id="2" name="Klien"/>
    <tableColumn id="3" name="Lokasi"/>
    <tableColumn id="4" name="Kategori"/>
    <tableColumn id="5" name="Tanggal"/>
    <tableColumn id="6" name="Subtotal"/>
    <tableColumn id="7" name="PPN %"/>
    <tableColumn id="8" name="Nilai PPN"/>
    <tableColumn id="9" name="PPh %"/>
    <tableColumn id="10" name="Nilai PPh"/>
    <tableColumn id="11" name="Biaya Lain"/>
    <tableColumn id="12" name="Total RAB"/>
  </tableColumns>
</table>
</file>

<file path=xl/tables/table12.xml><?xml version="1.0" encoding="utf-8"?>
<table xmlns="http://schemas.openxmlformats.org/spreadsheetml/2006/main" id="12" name="TblRABItem" displayName="TblRABItem" ref="A7:H157" headerRowCount="1" totalsRowCount="0" totalsRowShown="0">
  <autoFilter ref="A7:H157"/>
  <tableColumns count="8">
    <tableColumn id="1" name="Nama Proyek"/>
    <tableColumn id="2" name="Uraian Pekerjaan"/>
    <tableColumn id="3" name="Satuan"/>
    <tableColumn id="4" name="Volume"/>
    <tableColumn id="5" name="Harga Satuan"/>
    <tableColumn id="6" name="Jumlah"/>
    <tableColumn id="7" name="Kode AHSP (opsional)"/>
    <tableColumn id="8" name="Harga dari AHSP"/>
  </tableColumns>
</table>
</file>

<file path=xl/tables/table13.xml><?xml version="1.0" encoding="utf-8"?>
<table xmlns="http://schemas.openxmlformats.org/spreadsheetml/2006/main" id="13" name="TblStok" displayName="TblStok" ref="A7:I47" headerRowCount="1" totalsRowCount="0" totalsRowShown="0">
  <autoFilter ref="A7:I47"/>
  <tableColumns count="9">
    <tableColumn id="1" name="Nama Barang"/>
    <tableColumn id="2" name="Kategori"/>
    <tableColumn id="3" name="Satuan"/>
    <tableColumn id="4" name="Stok Awal"/>
    <tableColumn id="5" name="Stok Minimum"/>
    <tableColumn id="6" name="Harga Satuan"/>
    <tableColumn id="7" name="Stok Saat Ini"/>
    <tableColumn id="8" name="Nilai Stok"/>
    <tableColumn id="9" name="Status"/>
  </tableColumns>
</table>
</file>

<file path=xl/tables/table14.xml><?xml version="1.0" encoding="utf-8"?>
<table xmlns="http://schemas.openxmlformats.org/spreadsheetml/2006/main" id="14" name="TblStokRiwayat" displayName="TblStokRiwayat" ref="A3:E157" headerRowCount="1" totalsRowCount="0" totalsRowShown="0">
  <autoFilter ref="A3:E157"/>
  <tableColumns count="5">
    <tableColumn id="1" name="Nama Barang"/>
    <tableColumn id="2" name="Tanggal"/>
    <tableColumn id="3" name="Tipe"/>
    <tableColumn id="4" name="Qty"/>
    <tableColumn id="5" name="Keterangan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1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14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11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table" Target="../tables/table12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78D6"/>
    <pageSetUpPr fitToPage="false"/>
  </sheetPr>
  <dimension ref="A1:G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4" min="1" style="0" width="24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  <c r="F3" s="4" t="s">
        <v>6</v>
      </c>
      <c r="G3" s="4" t="s">
        <v>7</v>
      </c>
    </row>
    <row r="4" customFormat="false" ht="21.75" hidden="false" customHeight="true" outlineLevel="0" collapsed="false">
      <c r="A4" s="5" t="n">
        <f aca="false">KU_SaldoAkhir</f>
        <v>135555000</v>
      </c>
      <c r="B4" s="5" t="n">
        <f aca="false">KP_SaldoAkhir</f>
        <v>3500000</v>
      </c>
      <c r="C4" s="5" t="n">
        <f aca="false">MP_TotalMargin</f>
        <v>40500000</v>
      </c>
      <c r="D4" s="6" t="n">
        <f aca="false">KU_Piutang</f>
        <v>78026000</v>
      </c>
      <c r="F4" s="4" t="s">
        <v>8</v>
      </c>
      <c r="G4" s="7" t="n">
        <f aca="false">KU_Pemasukan</f>
        <v>135555000</v>
      </c>
    </row>
    <row r="5" customFormat="false" ht="15" hidden="false" customHeight="false" outlineLevel="0" collapsed="false">
      <c r="F5" s="0" t="s">
        <v>9</v>
      </c>
      <c r="G5" s="7" t="n">
        <f aca="false">KU_Pengeluaran</f>
        <v>0</v>
      </c>
    </row>
    <row r="6" customFormat="false" ht="15" hidden="false" customHeight="false" outlineLevel="0" collapsed="false">
      <c r="F6" s="0" t="s">
        <v>10</v>
      </c>
      <c r="G6" s="7" t="n">
        <f aca="false">KP_Pemasukan</f>
        <v>6000000</v>
      </c>
    </row>
    <row r="7" customFormat="false" ht="15" hidden="false" customHeight="false" outlineLevel="0" collapsed="false">
      <c r="F7" s="0" t="s">
        <v>11</v>
      </c>
      <c r="G7" s="7" t="n">
        <f aca="false">KP_Pengeluaran</f>
        <v>2500000</v>
      </c>
    </row>
    <row r="20" customFormat="false" ht="15" hidden="false" customHeight="false" outlineLevel="0" collapsed="false">
      <c r="A20" s="8" t="s">
        <v>12</v>
      </c>
    </row>
    <row r="21" customFormat="false" ht="27.75" hidden="false" customHeight="true" outlineLevel="0" collapsed="false">
      <c r="A21" s="9" t="s">
        <v>13</v>
      </c>
      <c r="B21" s="10" t="s">
        <v>14</v>
      </c>
      <c r="C21" s="10" t="s">
        <v>15</v>
      </c>
      <c r="D21" s="10" t="s">
        <v>16</v>
      </c>
      <c r="E21" s="10" t="s">
        <v>17</v>
      </c>
    </row>
    <row r="22" customFormat="false" ht="15" hidden="false" customHeight="false" outlineLevel="0" collapsed="false">
      <c r="A22" s="11" t="n">
        <f aca="false">IFERROR(INDEX(All_Transaksi!$A$2:$A$181,MATCH(1,All_Transaksi!$G$2:$G$181,0)),"")</f>
        <v>46241</v>
      </c>
      <c r="B22" s="12" t="str">
        <f aca="false">IFERROR(INDEX(All_Transaksi!$B$2:$B$181,MATCH(1,All_Transaksi!$G$2:$G$181,0)),"")</f>
        <v>Kas Perusahaan</v>
      </c>
      <c r="C22" s="12" t="str">
        <f aca="false">IFERROR(INDEX(All_Transaksi!$C$2:$C$181,MATCH(1,All_Transaksi!$G$2:$G$181,0)),"")</f>
        <v>SPK Tmpk Dpan dan Tiang T NSC Kutoarjo</v>
      </c>
      <c r="D22" s="12" t="str">
        <f aca="false">IFERROR(INDEX(All_Transaksi!$D$2:$D$181,MATCH(1,All_Transaksi!$G$2:$G$181,0)),"")</f>
        <v>Masuk</v>
      </c>
      <c r="E22" s="13" t="n">
        <f aca="false">IFERROR(INDEX(All_Transaksi!$E$2:$E$181,MATCH(1,All_Transaksi!$G$2:$G$181,0)),"")</f>
        <v>4766000</v>
      </c>
    </row>
    <row r="23" customFormat="false" ht="15" hidden="false" customHeight="false" outlineLevel="0" collapsed="false">
      <c r="A23" s="11" t="n">
        <f aca="false">IFERROR(INDEX(All_Transaksi!$A$2:$A$181,MATCH(2,All_Transaksi!$G$2:$G$181,0)),"")</f>
        <v>46241</v>
      </c>
      <c r="B23" s="12" t="str">
        <f aca="false">IFERROR(INDEX(All_Transaksi!$B$2:$B$181,MATCH(2,All_Transaksi!$G$2:$G$181,0)),"")</f>
        <v>Kas Perusahaan</v>
      </c>
      <c r="C23" s="12" t="str">
        <f aca="false">IFERROR(INDEX(All_Transaksi!$C$2:$C$181,MATCH(2,All_Transaksi!$G$2:$G$181,0)),"")</f>
        <v>SPK Tmpk Dpan dan Tiang T Gadai Sakti Kutoarjo</v>
      </c>
      <c r="D23" s="12" t="str">
        <f aca="false">IFERROR(INDEX(All_Transaksi!$D$2:$D$181,MATCH(2,All_Transaksi!$G$2:$G$181,0)),"")</f>
        <v>Masuk</v>
      </c>
      <c r="E23" s="13" t="n">
        <f aca="false">IFERROR(INDEX(All_Transaksi!$E$2:$E$181,MATCH(2,All_Transaksi!$G$2:$G$181,0)),"")</f>
        <v>5940000</v>
      </c>
    </row>
    <row r="24" customFormat="false" ht="15" hidden="false" customHeight="false" outlineLevel="0" collapsed="false">
      <c r="A24" s="11" t="n">
        <f aca="false">IFERROR(INDEX(All_Transaksi!$A$2:$A$181,MATCH(3,All_Transaksi!$G$2:$G$181,0)),"")</f>
        <v>46240</v>
      </c>
      <c r="B24" s="12" t="str">
        <f aca="false">IFERROR(INDEX(All_Transaksi!$B$2:$B$181,MATCH(3,All_Transaksi!$G$2:$G$181,0)),"")</f>
        <v>Kas Perusahaan</v>
      </c>
      <c r="C24" s="12" t="str">
        <f aca="false">IFERROR(INDEX(All_Transaksi!$C$2:$C$181,MATCH(3,All_Transaksi!$G$2:$G$181,0)),"")</f>
        <v>SPK Gudang Gadai Sakti Sukadami</v>
      </c>
      <c r="D24" s="12" t="str">
        <f aca="false">IFERROR(INDEX(All_Transaksi!$D$2:$D$181,MATCH(3,All_Transaksi!$G$2:$G$181,0)),"")</f>
        <v>Masuk</v>
      </c>
      <c r="E24" s="13" t="n">
        <f aca="false">IFERROR(INDEX(All_Transaksi!$E$2:$E$181,MATCH(3,All_Transaksi!$G$2:$G$181,0)),"")</f>
        <v>9423000</v>
      </c>
    </row>
    <row r="25" customFormat="false" ht="15" hidden="false" customHeight="false" outlineLevel="0" collapsed="false">
      <c r="A25" s="11" t="n">
        <f aca="false">IFERROR(INDEX(All_Transaksi!$A$2:$A$181,MATCH(4,All_Transaksi!$G$2:$G$181,0)),"")</f>
        <v>46240</v>
      </c>
      <c r="B25" s="12" t="str">
        <f aca="false">IFERROR(INDEX(All_Transaksi!$B$2:$B$181,MATCH(4,All_Transaksi!$G$2:$G$181,0)),"")</f>
        <v>Kas Perusahaan</v>
      </c>
      <c r="C25" s="12" t="str">
        <f aca="false">IFERROR(INDEX(All_Transaksi!$C$2:$C$181,MATCH(4,All_Transaksi!$G$2:$G$181,0)),"")</f>
        <v>SPK Tampak Depan NSC Kalideres</v>
      </c>
      <c r="D25" s="12" t="str">
        <f aca="false">IFERROR(INDEX(All_Transaksi!$D$2:$D$181,MATCH(4,All_Transaksi!$G$2:$G$181,0)),"")</f>
        <v>Masuk</v>
      </c>
      <c r="E25" s="13" t="n">
        <f aca="false">IFERROR(INDEX(All_Transaksi!$E$2:$E$181,MATCH(4,All_Transaksi!$G$2:$G$181,0)),"")</f>
        <v>4790000</v>
      </c>
    </row>
    <row r="26" customFormat="false" ht="15" hidden="false" customHeight="false" outlineLevel="0" collapsed="false">
      <c r="A26" s="11" t="n">
        <f aca="false">IFERROR(INDEX(All_Transaksi!$A$2:$A$181,MATCH(5,All_Transaksi!$G$2:$G$181,0)),"")</f>
        <v>46240</v>
      </c>
      <c r="B26" s="12" t="str">
        <f aca="false">IFERROR(INDEX(All_Transaksi!$B$2:$B$181,MATCH(5,All_Transaksi!$G$2:$G$181,0)),"")</f>
        <v>Kas Perusahaan</v>
      </c>
      <c r="C26" s="12" t="str">
        <f aca="false">IFERROR(INDEX(All_Transaksi!$C$2:$C$181,MATCH(5,All_Transaksi!$G$2:$G$181,0)),"")</f>
        <v>SPK Tampak Depan Gadai Sakti Kalideres</v>
      </c>
      <c r="D26" s="12" t="str">
        <f aca="false">IFERROR(INDEX(All_Transaksi!$D$2:$D$181,MATCH(5,All_Transaksi!$G$2:$G$181,0)),"")</f>
        <v>Masuk</v>
      </c>
      <c r="E26" s="13" t="n">
        <f aca="false">IFERROR(INDEX(All_Transaksi!$E$2:$E$181,MATCH(5,All_Transaksi!$G$2:$G$181,0)),"")</f>
        <v>2626000</v>
      </c>
    </row>
    <row r="27" customFormat="false" ht="15" hidden="false" customHeight="false" outlineLevel="0" collapsed="false">
      <c r="A27" s="11" t="n">
        <f aca="false">IFERROR(INDEX(All_Transaksi!$A$2:$A$181,MATCH(6,All_Transaksi!$G$2:$G$181,0)),"")</f>
        <v>46233</v>
      </c>
      <c r="B27" s="12" t="str">
        <f aca="false">IFERROR(INDEX(All_Transaksi!$B$2:$B$181,MATCH(6,All_Transaksi!$G$2:$G$181,0)),"")</f>
        <v>Kas Perusahaan</v>
      </c>
      <c r="C27" s="12" t="str">
        <f aca="false">IFERROR(INDEX(All_Transaksi!$C$2:$C$181,MATCH(6,All_Transaksi!$G$2:$G$181,0)),"")</f>
        <v>BAST Tmpk Dpn dan Tiang T NSC Cipayung</v>
      </c>
      <c r="D27" s="12" t="str">
        <f aca="false">IFERROR(INDEX(All_Transaksi!$D$2:$D$181,MATCH(6,All_Transaksi!$G$2:$G$181,0)),"")</f>
        <v>Masuk</v>
      </c>
      <c r="E27" s="13" t="n">
        <f aca="false">IFERROR(INDEX(All_Transaksi!$E$2:$E$181,MATCH(6,All_Transaksi!$G$2:$G$181,0)),"")</f>
        <v>9685000</v>
      </c>
    </row>
    <row r="28" customFormat="false" ht="15" hidden="false" customHeight="false" outlineLevel="0" collapsed="false">
      <c r="A28" s="11" t="n">
        <f aca="false">IFERROR(INDEX(All_Transaksi!$A$2:$A$181,MATCH(7,All_Transaksi!$G$2:$G$181,0)),"")</f>
        <v>46232</v>
      </c>
      <c r="B28" s="12" t="str">
        <f aca="false">IFERROR(INDEX(All_Transaksi!$B$2:$B$181,MATCH(7,All_Transaksi!$G$2:$G$181,0)),"")</f>
        <v>Kas Perusahaan</v>
      </c>
      <c r="C28" s="12" t="str">
        <f aca="false">IFERROR(INDEX(All_Transaksi!$C$2:$C$181,MATCH(7,All_Transaksi!$G$2:$G$181,0)),"")</f>
        <v>BAST Tmpk Dpn dan Tiang T Gadai Sakti Cipayung</v>
      </c>
      <c r="D28" s="12" t="str">
        <f aca="false">IFERROR(INDEX(All_Transaksi!$D$2:$D$181,MATCH(7,All_Transaksi!$G$2:$G$181,0)),"")</f>
        <v>Masuk</v>
      </c>
      <c r="E28" s="13" t="n">
        <f aca="false">IFERROR(INDEX(All_Transaksi!$E$2:$E$181,MATCH(7,All_Transaksi!$G$2:$G$181,0)),"")</f>
        <v>4370000</v>
      </c>
    </row>
    <row r="29" customFormat="false" ht="15" hidden="false" customHeight="false" outlineLevel="0" collapsed="false">
      <c r="A29" s="11" t="n">
        <f aca="false">IFERROR(INDEX(All_Transaksi!$A$2:$A$181,MATCH(8,All_Transaksi!$G$2:$G$181,0)),"")</f>
        <v>46231</v>
      </c>
      <c r="B29" s="12" t="str">
        <f aca="false">IFERROR(INDEX(All_Transaksi!$B$2:$B$181,MATCH(8,All_Transaksi!$G$2:$G$181,0)),"")</f>
        <v>Kas Perusahaan</v>
      </c>
      <c r="C29" s="12" t="str">
        <f aca="false">IFERROR(INDEX(All_Transaksi!$C$2:$C$181,MATCH(8,All_Transaksi!$G$2:$G$181,0)),"")</f>
        <v>BAST Tiang T Gadai Sakti Karangmulya</v>
      </c>
      <c r="D29" s="12" t="str">
        <f aca="false">IFERROR(INDEX(All_Transaksi!$D$2:$D$181,MATCH(8,All_Transaksi!$G$2:$G$181,0)),"")</f>
        <v>Masuk</v>
      </c>
      <c r="E29" s="13" t="n">
        <f aca="false">IFERROR(INDEX(All_Transaksi!$E$2:$E$181,MATCH(8,All_Transaksi!$G$2:$G$181,0)),"")</f>
        <v>5000000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78D6"/>
    <pageSetUpPr fitToPage="false"/>
  </sheetPr>
  <dimension ref="A1:G1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2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6" min="5" style="0" width="10"/>
    <col collapsed="false" customWidth="true" hidden="false" outlineLevel="0" max="7" min="7" style="0" width="15"/>
  </cols>
  <sheetData>
    <row r="1" customFormat="false" ht="19.7" hidden="false" customHeight="false" outlineLevel="0" collapsed="false">
      <c r="A1" s="1" t="s">
        <v>18</v>
      </c>
    </row>
    <row r="2" customFormat="false" ht="15" hidden="false" customHeight="false" outlineLevel="0" collapsed="false">
      <c r="A2" s="2" t="s">
        <v>19</v>
      </c>
    </row>
    <row r="3" customFormat="false" ht="15" hidden="false" customHeight="false" outlineLevel="0" collapsed="false">
      <c r="B3" s="3" t="s">
        <v>20</v>
      </c>
      <c r="C3" s="3" t="s">
        <v>21</v>
      </c>
      <c r="D3" s="3" t="s">
        <v>22</v>
      </c>
      <c r="E3" s="3" t="s">
        <v>23</v>
      </c>
      <c r="F3" s="3" t="s">
        <v>24</v>
      </c>
    </row>
    <row r="4" customFormat="false" ht="21.75" hidden="false" customHeight="true" outlineLevel="0" collapsed="false">
      <c r="B4" s="14" t="n">
        <v>0</v>
      </c>
      <c r="C4" s="5" t="n">
        <f aca="false">SUMIFS(TblKasUsaha[Jumlah],TblKasUsaha[Tipe],"Masuk",TblKasUsaha[Status],"Lunas")</f>
        <v>135555000</v>
      </c>
      <c r="D4" s="5" t="n">
        <f aca="false">SUMIFS(TblKasUsaha[Jumlah],TblKasUsaha[Tipe],"Keluar")</f>
        <v>0</v>
      </c>
      <c r="E4" s="5" t="n">
        <f aca="false">B4+C4-D4</f>
        <v>135555000</v>
      </c>
      <c r="F4" s="6" t="n">
        <f aca="false">SUMIFS(TblKasUsaha[Jumlah],TblKasUsaha[Tipe],"Masuk",TblKasUsaha[Status],"Pending")</f>
        <v>78026000</v>
      </c>
    </row>
    <row r="7" customFormat="false" ht="27.75" hidden="false" customHeight="true" outlineLevel="0" collapsed="false">
      <c r="A7" s="9" t="s">
        <v>13</v>
      </c>
      <c r="B7" s="10" t="s">
        <v>15</v>
      </c>
      <c r="C7" s="10" t="s">
        <v>6</v>
      </c>
      <c r="D7" s="10" t="s">
        <v>25</v>
      </c>
      <c r="E7" s="10" t="s">
        <v>16</v>
      </c>
      <c r="F7" s="10" t="s">
        <v>26</v>
      </c>
      <c r="G7" s="10" t="s">
        <v>17</v>
      </c>
    </row>
    <row r="8" customFormat="false" ht="15" hidden="false" customHeight="false" outlineLevel="0" collapsed="false">
      <c r="A8" s="15" t="n">
        <v>46171</v>
      </c>
      <c r="B8" s="16" t="s">
        <v>27</v>
      </c>
      <c r="C8" s="16" t="s">
        <v>28</v>
      </c>
      <c r="D8" s="16" t="s">
        <v>29</v>
      </c>
      <c r="E8" s="16" t="s">
        <v>30</v>
      </c>
      <c r="F8" s="16" t="s">
        <v>31</v>
      </c>
      <c r="G8" s="17" t="n">
        <v>4500000</v>
      </c>
    </row>
    <row r="9" customFormat="false" ht="15" hidden="false" customHeight="false" outlineLevel="0" collapsed="false">
      <c r="A9" s="15" t="n">
        <v>46171</v>
      </c>
      <c r="B9" s="16" t="s">
        <v>32</v>
      </c>
      <c r="C9" s="16" t="s">
        <v>28</v>
      </c>
      <c r="D9" s="16" t="s">
        <v>29</v>
      </c>
      <c r="E9" s="16" t="s">
        <v>30</v>
      </c>
      <c r="F9" s="16" t="s">
        <v>31</v>
      </c>
      <c r="G9" s="17" t="n">
        <v>4500000</v>
      </c>
    </row>
    <row r="10" customFormat="false" ht="15" hidden="false" customHeight="false" outlineLevel="0" collapsed="false">
      <c r="A10" s="15" t="n">
        <v>46175</v>
      </c>
      <c r="B10" s="16" t="s">
        <v>33</v>
      </c>
      <c r="C10" s="16" t="s">
        <v>28</v>
      </c>
      <c r="D10" s="16" t="s">
        <v>29</v>
      </c>
      <c r="E10" s="16" t="s">
        <v>30</v>
      </c>
      <c r="F10" s="16" t="s">
        <v>31</v>
      </c>
      <c r="G10" s="17" t="n">
        <v>8370000</v>
      </c>
    </row>
    <row r="11" customFormat="false" ht="15" hidden="false" customHeight="false" outlineLevel="0" collapsed="false">
      <c r="A11" s="15" t="n">
        <v>46177</v>
      </c>
      <c r="B11" s="16" t="s">
        <v>34</v>
      </c>
      <c r="C11" s="16" t="s">
        <v>28</v>
      </c>
      <c r="D11" s="16" t="s">
        <v>29</v>
      </c>
      <c r="E11" s="16" t="s">
        <v>30</v>
      </c>
      <c r="F11" s="16" t="s">
        <v>31</v>
      </c>
      <c r="G11" s="17" t="n">
        <v>4000000</v>
      </c>
    </row>
    <row r="12" customFormat="false" ht="15" hidden="false" customHeight="false" outlineLevel="0" collapsed="false">
      <c r="A12" s="15" t="n">
        <v>46182</v>
      </c>
      <c r="B12" s="16" t="s">
        <v>35</v>
      </c>
      <c r="C12" s="16" t="s">
        <v>28</v>
      </c>
      <c r="D12" s="16" t="s">
        <v>29</v>
      </c>
      <c r="E12" s="16" t="s">
        <v>30</v>
      </c>
      <c r="F12" s="16" t="s">
        <v>31</v>
      </c>
      <c r="G12" s="17" t="n">
        <v>2232000</v>
      </c>
    </row>
    <row r="13" customFormat="false" ht="15" hidden="false" customHeight="false" outlineLevel="0" collapsed="false">
      <c r="A13" s="15" t="n">
        <v>46182</v>
      </c>
      <c r="B13" s="16" t="s">
        <v>36</v>
      </c>
      <c r="C13" s="16" t="s">
        <v>28</v>
      </c>
      <c r="D13" s="16" t="s">
        <v>37</v>
      </c>
      <c r="E13" s="16" t="s">
        <v>30</v>
      </c>
      <c r="F13" s="16" t="s">
        <v>31</v>
      </c>
      <c r="G13" s="17" t="n">
        <v>3019000</v>
      </c>
    </row>
    <row r="14" customFormat="false" ht="15" hidden="false" customHeight="false" outlineLevel="0" collapsed="false">
      <c r="A14" s="15" t="n">
        <v>46182</v>
      </c>
      <c r="B14" s="16" t="s">
        <v>38</v>
      </c>
      <c r="C14" s="16" t="s">
        <v>28</v>
      </c>
      <c r="D14" s="16" t="s">
        <v>39</v>
      </c>
      <c r="E14" s="16" t="s">
        <v>30</v>
      </c>
      <c r="F14" s="16" t="s">
        <v>31</v>
      </c>
      <c r="G14" s="17" t="n">
        <v>3019000</v>
      </c>
    </row>
    <row r="15" customFormat="false" ht="15" hidden="false" customHeight="false" outlineLevel="0" collapsed="false">
      <c r="A15" s="15" t="n">
        <v>46183</v>
      </c>
      <c r="B15" s="16" t="s">
        <v>40</v>
      </c>
      <c r="C15" s="16" t="s">
        <v>28</v>
      </c>
      <c r="D15" s="16" t="s">
        <v>29</v>
      </c>
      <c r="E15" s="16" t="s">
        <v>30</v>
      </c>
      <c r="F15" s="16" t="s">
        <v>31</v>
      </c>
      <c r="G15" s="17" t="n">
        <v>4500000</v>
      </c>
    </row>
    <row r="16" customFormat="false" ht="15" hidden="false" customHeight="false" outlineLevel="0" collapsed="false">
      <c r="A16" s="15" t="n">
        <v>46184</v>
      </c>
      <c r="B16" s="16" t="s">
        <v>41</v>
      </c>
      <c r="C16" s="16" t="s">
        <v>28</v>
      </c>
      <c r="D16" s="16" t="s">
        <v>29</v>
      </c>
      <c r="E16" s="16" t="s">
        <v>30</v>
      </c>
      <c r="F16" s="16" t="s">
        <v>31</v>
      </c>
      <c r="G16" s="17" t="n">
        <v>4500000</v>
      </c>
    </row>
    <row r="17" customFormat="false" ht="15" hidden="false" customHeight="false" outlineLevel="0" collapsed="false">
      <c r="A17" s="15" t="n">
        <v>46186</v>
      </c>
      <c r="B17" s="16" t="s">
        <v>42</v>
      </c>
      <c r="C17" s="16" t="s">
        <v>28</v>
      </c>
      <c r="D17" s="16" t="s">
        <v>29</v>
      </c>
      <c r="E17" s="16" t="s">
        <v>30</v>
      </c>
      <c r="F17" s="16" t="s">
        <v>31</v>
      </c>
      <c r="G17" s="17" t="n">
        <v>7769000</v>
      </c>
    </row>
    <row r="18" customFormat="false" ht="15" hidden="false" customHeight="false" outlineLevel="0" collapsed="false">
      <c r="A18" s="15" t="n">
        <v>46186</v>
      </c>
      <c r="B18" s="16" t="s">
        <v>43</v>
      </c>
      <c r="C18" s="16" t="s">
        <v>28</v>
      </c>
      <c r="D18" s="16" t="s">
        <v>29</v>
      </c>
      <c r="E18" s="16" t="s">
        <v>30</v>
      </c>
      <c r="F18" s="16" t="s">
        <v>31</v>
      </c>
      <c r="G18" s="17" t="n">
        <v>5250000</v>
      </c>
    </row>
    <row r="19" customFormat="false" ht="15" hidden="false" customHeight="false" outlineLevel="0" collapsed="false">
      <c r="A19" s="15" t="n">
        <v>46190</v>
      </c>
      <c r="B19" s="16" t="s">
        <v>44</v>
      </c>
      <c r="C19" s="16" t="s">
        <v>28</v>
      </c>
      <c r="D19" s="16" t="s">
        <v>29</v>
      </c>
      <c r="E19" s="16" t="s">
        <v>30</v>
      </c>
      <c r="F19" s="16" t="s">
        <v>31</v>
      </c>
      <c r="G19" s="17" t="n">
        <v>5388000</v>
      </c>
    </row>
    <row r="20" customFormat="false" ht="15" hidden="false" customHeight="false" outlineLevel="0" collapsed="false">
      <c r="A20" s="15" t="n">
        <v>46195</v>
      </c>
      <c r="B20" s="16" t="s">
        <v>45</v>
      </c>
      <c r="C20" s="16" t="s">
        <v>28</v>
      </c>
      <c r="D20" s="16" t="s">
        <v>29</v>
      </c>
      <c r="E20" s="16" t="s">
        <v>30</v>
      </c>
      <c r="F20" s="16" t="s">
        <v>31</v>
      </c>
      <c r="G20" s="17" t="n">
        <v>8370000</v>
      </c>
    </row>
    <row r="21" customFormat="false" ht="15" hidden="false" customHeight="false" outlineLevel="0" collapsed="false">
      <c r="A21" s="15" t="n">
        <v>46200</v>
      </c>
      <c r="B21" s="16" t="s">
        <v>46</v>
      </c>
      <c r="C21" s="16" t="s">
        <v>28</v>
      </c>
      <c r="D21" s="16" t="s">
        <v>29</v>
      </c>
      <c r="E21" s="16" t="s">
        <v>30</v>
      </c>
      <c r="F21" s="16" t="s">
        <v>31</v>
      </c>
      <c r="G21" s="17" t="n">
        <v>5000000</v>
      </c>
    </row>
    <row r="22" customFormat="false" ht="15" hidden="false" customHeight="false" outlineLevel="0" collapsed="false">
      <c r="A22" s="15" t="n">
        <v>46200</v>
      </c>
      <c r="B22" s="16" t="s">
        <v>47</v>
      </c>
      <c r="C22" s="16" t="s">
        <v>28</v>
      </c>
      <c r="D22" s="16" t="s">
        <v>29</v>
      </c>
      <c r="E22" s="16" t="s">
        <v>30</v>
      </c>
      <c r="F22" s="16" t="s">
        <v>31</v>
      </c>
      <c r="G22" s="17" t="n">
        <v>7500000</v>
      </c>
    </row>
    <row r="23" customFormat="false" ht="15" hidden="false" customHeight="false" outlineLevel="0" collapsed="false">
      <c r="A23" s="15" t="n">
        <v>46200</v>
      </c>
      <c r="B23" s="16" t="s">
        <v>48</v>
      </c>
      <c r="C23" s="16" t="s">
        <v>28</v>
      </c>
      <c r="D23" s="16" t="s">
        <v>29</v>
      </c>
      <c r="E23" s="16" t="s">
        <v>30</v>
      </c>
      <c r="F23" s="16" t="s">
        <v>31</v>
      </c>
      <c r="G23" s="17" t="n">
        <v>16500000</v>
      </c>
    </row>
    <row r="24" customFormat="false" ht="15" hidden="false" customHeight="false" outlineLevel="0" collapsed="false">
      <c r="A24" s="15" t="n">
        <v>46204</v>
      </c>
      <c r="B24" s="16" t="s">
        <v>49</v>
      </c>
      <c r="C24" s="16" t="s">
        <v>28</v>
      </c>
      <c r="D24" s="16" t="s">
        <v>29</v>
      </c>
      <c r="E24" s="16" t="s">
        <v>30</v>
      </c>
      <c r="F24" s="16" t="s">
        <v>31</v>
      </c>
      <c r="G24" s="17" t="n">
        <v>5388000</v>
      </c>
    </row>
    <row r="25" customFormat="false" ht="15" hidden="false" customHeight="false" outlineLevel="0" collapsed="false">
      <c r="A25" s="15" t="n">
        <v>46205</v>
      </c>
      <c r="B25" s="16" t="s">
        <v>50</v>
      </c>
      <c r="C25" s="16" t="s">
        <v>28</v>
      </c>
      <c r="D25" s="16" t="s">
        <v>37</v>
      </c>
      <c r="E25" s="16" t="s">
        <v>30</v>
      </c>
      <c r="F25" s="16" t="s">
        <v>31</v>
      </c>
      <c r="G25" s="17" t="n">
        <v>9685000</v>
      </c>
    </row>
    <row r="26" customFormat="false" ht="15" hidden="false" customHeight="false" outlineLevel="0" collapsed="false">
      <c r="A26" s="15" t="n">
        <v>46205</v>
      </c>
      <c r="B26" s="16" t="s">
        <v>51</v>
      </c>
      <c r="C26" s="16" t="s">
        <v>28</v>
      </c>
      <c r="D26" s="16" t="s">
        <v>29</v>
      </c>
      <c r="E26" s="16" t="s">
        <v>30</v>
      </c>
      <c r="F26" s="16" t="s">
        <v>31</v>
      </c>
      <c r="G26" s="17" t="n">
        <v>4370000</v>
      </c>
    </row>
    <row r="27" customFormat="false" ht="15" hidden="false" customHeight="false" outlineLevel="0" collapsed="false">
      <c r="A27" s="15" t="n">
        <v>46206</v>
      </c>
      <c r="B27" s="16" t="s">
        <v>52</v>
      </c>
      <c r="C27" s="16" t="s">
        <v>28</v>
      </c>
      <c r="D27" s="16" t="s">
        <v>29</v>
      </c>
      <c r="E27" s="16" t="s">
        <v>30</v>
      </c>
      <c r="F27" s="16" t="s">
        <v>53</v>
      </c>
      <c r="G27" s="17" t="n">
        <v>7769000</v>
      </c>
    </row>
    <row r="28" customFormat="false" ht="15" hidden="false" customHeight="false" outlineLevel="0" collapsed="false">
      <c r="A28" s="15" t="n">
        <v>46209</v>
      </c>
      <c r="B28" s="16" t="s">
        <v>54</v>
      </c>
      <c r="C28" s="16" t="s">
        <v>28</v>
      </c>
      <c r="D28" s="16" t="s">
        <v>29</v>
      </c>
      <c r="E28" s="16" t="s">
        <v>30</v>
      </c>
      <c r="F28" s="16" t="s">
        <v>53</v>
      </c>
      <c r="G28" s="17" t="n">
        <v>2232000</v>
      </c>
    </row>
    <row r="29" customFormat="false" ht="15" hidden="false" customHeight="false" outlineLevel="0" collapsed="false">
      <c r="A29" s="15" t="n">
        <v>46209</v>
      </c>
      <c r="B29" s="16" t="s">
        <v>55</v>
      </c>
      <c r="C29" s="16" t="s">
        <v>28</v>
      </c>
      <c r="D29" s="16" t="s">
        <v>37</v>
      </c>
      <c r="E29" s="16" t="s">
        <v>30</v>
      </c>
      <c r="F29" s="16" t="s">
        <v>53</v>
      </c>
      <c r="G29" s="17" t="n">
        <v>3019000</v>
      </c>
    </row>
    <row r="30" customFormat="false" ht="15" hidden="false" customHeight="false" outlineLevel="0" collapsed="false">
      <c r="A30" s="15" t="n">
        <v>46209</v>
      </c>
      <c r="B30" s="16" t="s">
        <v>56</v>
      </c>
      <c r="C30" s="16" t="s">
        <v>28</v>
      </c>
      <c r="D30" s="16" t="s">
        <v>39</v>
      </c>
      <c r="E30" s="16" t="s">
        <v>30</v>
      </c>
      <c r="F30" s="16" t="s">
        <v>53</v>
      </c>
      <c r="G30" s="17" t="n">
        <v>3019000</v>
      </c>
    </row>
    <row r="31" customFormat="false" ht="15" hidden="false" customHeight="false" outlineLevel="0" collapsed="false">
      <c r="A31" s="15" t="n">
        <v>46218</v>
      </c>
      <c r="B31" s="16" t="s">
        <v>57</v>
      </c>
      <c r="C31" s="16" t="s">
        <v>28</v>
      </c>
      <c r="D31" s="16" t="s">
        <v>29</v>
      </c>
      <c r="E31" s="16" t="s">
        <v>30</v>
      </c>
      <c r="F31" s="16" t="s">
        <v>31</v>
      </c>
      <c r="G31" s="17" t="n">
        <v>6080000</v>
      </c>
    </row>
    <row r="32" customFormat="false" ht="15" hidden="false" customHeight="false" outlineLevel="0" collapsed="false">
      <c r="A32" s="15" t="n">
        <v>46218</v>
      </c>
      <c r="B32" s="16" t="s">
        <v>58</v>
      </c>
      <c r="C32" s="16" t="s">
        <v>28</v>
      </c>
      <c r="D32" s="16" t="s">
        <v>37</v>
      </c>
      <c r="E32" s="16" t="s">
        <v>30</v>
      </c>
      <c r="F32" s="16" t="s">
        <v>31</v>
      </c>
      <c r="G32" s="17" t="n">
        <v>9450000</v>
      </c>
    </row>
    <row r="33" customFormat="false" ht="15" hidden="false" customHeight="false" outlineLevel="0" collapsed="false">
      <c r="A33" s="15" t="n">
        <v>46221</v>
      </c>
      <c r="B33" s="16" t="s">
        <v>59</v>
      </c>
      <c r="C33" s="16" t="s">
        <v>28</v>
      </c>
      <c r="D33" s="16" t="s">
        <v>29</v>
      </c>
      <c r="E33" s="16" t="s">
        <v>30</v>
      </c>
      <c r="F33" s="16" t="s">
        <v>31</v>
      </c>
      <c r="G33" s="17" t="n">
        <v>6165000</v>
      </c>
    </row>
    <row r="34" customFormat="false" ht="15" hidden="false" customHeight="false" outlineLevel="0" collapsed="false">
      <c r="A34" s="15" t="n">
        <v>46221</v>
      </c>
      <c r="B34" s="16" t="s">
        <v>60</v>
      </c>
      <c r="C34" s="16" t="s">
        <v>28</v>
      </c>
      <c r="D34" s="16" t="s">
        <v>37</v>
      </c>
      <c r="E34" s="16" t="s">
        <v>30</v>
      </c>
      <c r="F34" s="16" t="s">
        <v>53</v>
      </c>
      <c r="G34" s="17" t="n">
        <v>7869000</v>
      </c>
    </row>
    <row r="35" customFormat="false" ht="15" hidden="false" customHeight="false" outlineLevel="0" collapsed="false">
      <c r="A35" s="15" t="n">
        <v>46230</v>
      </c>
      <c r="B35" s="16" t="s">
        <v>61</v>
      </c>
      <c r="C35" s="16" t="s">
        <v>28</v>
      </c>
      <c r="D35" s="16" t="s">
        <v>29</v>
      </c>
      <c r="E35" s="16" t="s">
        <v>30</v>
      </c>
      <c r="F35" s="16" t="s">
        <v>53</v>
      </c>
      <c r="G35" s="17" t="n">
        <v>7518000</v>
      </c>
    </row>
    <row r="36" customFormat="false" ht="15" hidden="false" customHeight="false" outlineLevel="0" collapsed="false">
      <c r="A36" s="15" t="n">
        <v>46231</v>
      </c>
      <c r="B36" s="16" t="s">
        <v>62</v>
      </c>
      <c r="C36" s="16" t="s">
        <v>28</v>
      </c>
      <c r="D36" s="16" t="s">
        <v>29</v>
      </c>
      <c r="E36" s="16" t="s">
        <v>30</v>
      </c>
      <c r="F36" s="16" t="s">
        <v>53</v>
      </c>
      <c r="G36" s="17" t="n">
        <v>5000000</v>
      </c>
    </row>
    <row r="37" customFormat="false" ht="15" hidden="false" customHeight="false" outlineLevel="0" collapsed="false">
      <c r="A37" s="15" t="n">
        <v>46232</v>
      </c>
      <c r="B37" s="16" t="s">
        <v>63</v>
      </c>
      <c r="C37" s="16" t="s">
        <v>28</v>
      </c>
      <c r="D37" s="16" t="s">
        <v>29</v>
      </c>
      <c r="E37" s="16" t="s">
        <v>30</v>
      </c>
      <c r="F37" s="16" t="s">
        <v>53</v>
      </c>
      <c r="G37" s="17" t="n">
        <v>4370000</v>
      </c>
    </row>
    <row r="38" customFormat="false" ht="15" hidden="false" customHeight="false" outlineLevel="0" collapsed="false">
      <c r="A38" s="15" t="n">
        <v>46233</v>
      </c>
      <c r="B38" s="16" t="s">
        <v>64</v>
      </c>
      <c r="C38" s="16" t="s">
        <v>28</v>
      </c>
      <c r="D38" s="16" t="s">
        <v>37</v>
      </c>
      <c r="E38" s="16" t="s">
        <v>30</v>
      </c>
      <c r="F38" s="16" t="s">
        <v>53</v>
      </c>
      <c r="G38" s="17" t="n">
        <v>9685000</v>
      </c>
    </row>
    <row r="39" customFormat="false" ht="15" hidden="false" customHeight="false" outlineLevel="0" collapsed="false">
      <c r="A39" s="15" t="n">
        <v>46240</v>
      </c>
      <c r="B39" s="16" t="s">
        <v>65</v>
      </c>
      <c r="C39" s="16" t="s">
        <v>28</v>
      </c>
      <c r="D39" s="16" t="s">
        <v>29</v>
      </c>
      <c r="E39" s="16" t="s">
        <v>30</v>
      </c>
      <c r="F39" s="16" t="s">
        <v>53</v>
      </c>
      <c r="G39" s="17" t="n">
        <v>2626000</v>
      </c>
    </row>
    <row r="40" customFormat="false" ht="15" hidden="false" customHeight="false" outlineLevel="0" collapsed="false">
      <c r="A40" s="15" t="n">
        <v>46240</v>
      </c>
      <c r="B40" s="16" t="s">
        <v>66</v>
      </c>
      <c r="C40" s="16" t="s">
        <v>28</v>
      </c>
      <c r="D40" s="16" t="s">
        <v>37</v>
      </c>
      <c r="E40" s="16" t="s">
        <v>30</v>
      </c>
      <c r="F40" s="16" t="s">
        <v>53</v>
      </c>
      <c r="G40" s="17" t="n">
        <v>4790000</v>
      </c>
    </row>
    <row r="41" customFormat="false" ht="15" hidden="false" customHeight="false" outlineLevel="0" collapsed="false">
      <c r="A41" s="15" t="n">
        <v>46240</v>
      </c>
      <c r="B41" s="16" t="s">
        <v>67</v>
      </c>
      <c r="C41" s="16" t="s">
        <v>28</v>
      </c>
      <c r="D41" s="16" t="s">
        <v>29</v>
      </c>
      <c r="E41" s="16" t="s">
        <v>30</v>
      </c>
      <c r="F41" s="16" t="s">
        <v>53</v>
      </c>
      <c r="G41" s="17" t="n">
        <v>9423000</v>
      </c>
    </row>
    <row r="42" customFormat="false" ht="15" hidden="false" customHeight="false" outlineLevel="0" collapsed="false">
      <c r="A42" s="15" t="n">
        <v>46241</v>
      </c>
      <c r="B42" s="16" t="s">
        <v>68</v>
      </c>
      <c r="C42" s="16" t="s">
        <v>28</v>
      </c>
      <c r="D42" s="16" t="s">
        <v>29</v>
      </c>
      <c r="E42" s="16" t="s">
        <v>30</v>
      </c>
      <c r="F42" s="16" t="s">
        <v>53</v>
      </c>
      <c r="G42" s="17" t="n">
        <v>5940000</v>
      </c>
    </row>
    <row r="43" customFormat="false" ht="15" hidden="false" customHeight="false" outlineLevel="0" collapsed="false">
      <c r="A43" s="15" t="n">
        <v>46241</v>
      </c>
      <c r="B43" s="16" t="s">
        <v>69</v>
      </c>
      <c r="C43" s="16" t="s">
        <v>28</v>
      </c>
      <c r="D43" s="16" t="s">
        <v>37</v>
      </c>
      <c r="E43" s="16" t="s">
        <v>30</v>
      </c>
      <c r="F43" s="16" t="s">
        <v>53</v>
      </c>
      <c r="G43" s="17" t="n">
        <v>4766000</v>
      </c>
    </row>
    <row r="44" customFormat="false" ht="15" hidden="false" customHeight="false" outlineLevel="0" collapsed="false">
      <c r="A44" s="15"/>
      <c r="B44" s="16"/>
      <c r="C44" s="16"/>
      <c r="D44" s="16"/>
      <c r="E44" s="16"/>
      <c r="F44" s="16"/>
      <c r="G44" s="17"/>
    </row>
    <row r="45" customFormat="false" ht="15" hidden="false" customHeight="false" outlineLevel="0" collapsed="false">
      <c r="A45" s="15"/>
      <c r="B45" s="16"/>
      <c r="C45" s="16"/>
      <c r="D45" s="16"/>
      <c r="E45" s="16"/>
      <c r="F45" s="16"/>
      <c r="G45" s="17"/>
    </row>
    <row r="46" customFormat="false" ht="15" hidden="false" customHeight="false" outlineLevel="0" collapsed="false">
      <c r="A46" s="15"/>
      <c r="B46" s="16"/>
      <c r="C46" s="16"/>
      <c r="D46" s="16"/>
      <c r="E46" s="16"/>
      <c r="F46" s="16"/>
      <c r="G46" s="17"/>
    </row>
    <row r="47" customFormat="false" ht="15" hidden="false" customHeight="false" outlineLevel="0" collapsed="false">
      <c r="A47" s="15"/>
      <c r="B47" s="16"/>
      <c r="C47" s="16"/>
      <c r="D47" s="16"/>
      <c r="E47" s="16"/>
      <c r="F47" s="16"/>
      <c r="G47" s="17"/>
    </row>
    <row r="48" customFormat="false" ht="15" hidden="false" customHeight="false" outlineLevel="0" collapsed="false">
      <c r="A48" s="15"/>
      <c r="B48" s="16"/>
      <c r="C48" s="16"/>
      <c r="D48" s="16"/>
      <c r="E48" s="16"/>
      <c r="F48" s="16"/>
      <c r="G48" s="17"/>
    </row>
    <row r="49" customFormat="false" ht="15" hidden="false" customHeight="false" outlineLevel="0" collapsed="false">
      <c r="A49" s="15"/>
      <c r="B49" s="16"/>
      <c r="C49" s="16"/>
      <c r="D49" s="16"/>
      <c r="E49" s="16"/>
      <c r="F49" s="16"/>
      <c r="G49" s="17"/>
    </row>
    <row r="50" customFormat="false" ht="15" hidden="false" customHeight="false" outlineLevel="0" collapsed="false">
      <c r="A50" s="15"/>
      <c r="B50" s="16"/>
      <c r="C50" s="16"/>
      <c r="D50" s="16"/>
      <c r="E50" s="16"/>
      <c r="F50" s="16"/>
      <c r="G50" s="17"/>
    </row>
    <row r="51" customFormat="false" ht="15" hidden="false" customHeight="false" outlineLevel="0" collapsed="false">
      <c r="A51" s="15"/>
      <c r="B51" s="16"/>
      <c r="C51" s="16"/>
      <c r="D51" s="16"/>
      <c r="E51" s="16"/>
      <c r="F51" s="16"/>
      <c r="G51" s="17"/>
    </row>
    <row r="52" customFormat="false" ht="15" hidden="false" customHeight="false" outlineLevel="0" collapsed="false">
      <c r="A52" s="15"/>
      <c r="B52" s="16"/>
      <c r="C52" s="16"/>
      <c r="D52" s="16"/>
      <c r="E52" s="16"/>
      <c r="F52" s="16"/>
      <c r="G52" s="17"/>
    </row>
    <row r="53" customFormat="false" ht="15" hidden="false" customHeight="false" outlineLevel="0" collapsed="false">
      <c r="A53" s="15"/>
      <c r="B53" s="16"/>
      <c r="C53" s="16"/>
      <c r="D53" s="16"/>
      <c r="E53" s="16"/>
      <c r="F53" s="16"/>
      <c r="G53" s="17"/>
    </row>
    <row r="54" customFormat="false" ht="15" hidden="false" customHeight="false" outlineLevel="0" collapsed="false">
      <c r="A54" s="15"/>
      <c r="B54" s="16"/>
      <c r="C54" s="16"/>
      <c r="D54" s="16"/>
      <c r="E54" s="16"/>
      <c r="F54" s="16"/>
      <c r="G54" s="17"/>
    </row>
    <row r="55" customFormat="false" ht="15" hidden="false" customHeight="false" outlineLevel="0" collapsed="false">
      <c r="A55" s="15"/>
      <c r="B55" s="16"/>
      <c r="C55" s="16"/>
      <c r="D55" s="16"/>
      <c r="E55" s="16"/>
      <c r="F55" s="16"/>
      <c r="G55" s="17"/>
    </row>
    <row r="56" customFormat="false" ht="15" hidden="false" customHeight="false" outlineLevel="0" collapsed="false">
      <c r="A56" s="15"/>
      <c r="B56" s="16"/>
      <c r="C56" s="16"/>
      <c r="D56" s="16"/>
      <c r="E56" s="16"/>
      <c r="F56" s="16"/>
      <c r="G56" s="17"/>
    </row>
    <row r="57" customFormat="false" ht="15" hidden="false" customHeight="false" outlineLevel="0" collapsed="false">
      <c r="A57" s="15"/>
      <c r="B57" s="16"/>
      <c r="C57" s="16"/>
      <c r="D57" s="16"/>
      <c r="E57" s="16"/>
      <c r="F57" s="16"/>
      <c r="G57" s="17"/>
    </row>
    <row r="58" customFormat="false" ht="15" hidden="false" customHeight="false" outlineLevel="0" collapsed="false">
      <c r="A58" s="15"/>
      <c r="B58" s="16"/>
      <c r="C58" s="16"/>
      <c r="D58" s="16"/>
      <c r="E58" s="16"/>
      <c r="F58" s="16"/>
      <c r="G58" s="17"/>
    </row>
    <row r="59" customFormat="false" ht="15" hidden="false" customHeight="false" outlineLevel="0" collapsed="false">
      <c r="A59" s="15"/>
      <c r="B59" s="16"/>
      <c r="C59" s="16"/>
      <c r="D59" s="16"/>
      <c r="E59" s="16"/>
      <c r="F59" s="16"/>
      <c r="G59" s="17"/>
    </row>
    <row r="60" customFormat="false" ht="15" hidden="false" customHeight="false" outlineLevel="0" collapsed="false">
      <c r="A60" s="15"/>
      <c r="B60" s="16"/>
      <c r="C60" s="16"/>
      <c r="D60" s="16"/>
      <c r="E60" s="16"/>
      <c r="F60" s="16"/>
      <c r="G60" s="17"/>
    </row>
    <row r="61" customFormat="false" ht="15" hidden="false" customHeight="false" outlineLevel="0" collapsed="false">
      <c r="A61" s="15"/>
      <c r="B61" s="16"/>
      <c r="C61" s="16"/>
      <c r="D61" s="16"/>
      <c r="E61" s="16"/>
      <c r="F61" s="16"/>
      <c r="G61" s="17"/>
    </row>
    <row r="62" customFormat="false" ht="15" hidden="false" customHeight="false" outlineLevel="0" collapsed="false">
      <c r="A62" s="15"/>
      <c r="B62" s="16"/>
      <c r="C62" s="16"/>
      <c r="D62" s="16"/>
      <c r="E62" s="16"/>
      <c r="F62" s="16"/>
      <c r="G62" s="17"/>
    </row>
    <row r="63" customFormat="false" ht="15" hidden="false" customHeight="false" outlineLevel="0" collapsed="false">
      <c r="A63" s="15"/>
      <c r="B63" s="16"/>
      <c r="C63" s="16"/>
      <c r="D63" s="16"/>
      <c r="E63" s="16"/>
      <c r="F63" s="16"/>
      <c r="G63" s="17"/>
    </row>
    <row r="64" customFormat="false" ht="15" hidden="false" customHeight="false" outlineLevel="0" collapsed="false">
      <c r="A64" s="15"/>
      <c r="B64" s="16"/>
      <c r="C64" s="16"/>
      <c r="D64" s="16"/>
      <c r="E64" s="16"/>
      <c r="F64" s="16"/>
      <c r="G64" s="17"/>
    </row>
    <row r="65" customFormat="false" ht="15" hidden="false" customHeight="false" outlineLevel="0" collapsed="false">
      <c r="A65" s="15"/>
      <c r="B65" s="16"/>
      <c r="C65" s="16"/>
      <c r="D65" s="16"/>
      <c r="E65" s="16"/>
      <c r="F65" s="16"/>
      <c r="G65" s="17"/>
    </row>
    <row r="66" customFormat="false" ht="15" hidden="false" customHeight="false" outlineLevel="0" collapsed="false">
      <c r="A66" s="15"/>
      <c r="B66" s="16"/>
      <c r="C66" s="16"/>
      <c r="D66" s="16"/>
      <c r="E66" s="16"/>
      <c r="F66" s="16"/>
      <c r="G66" s="17"/>
    </row>
    <row r="67" customFormat="false" ht="15" hidden="false" customHeight="false" outlineLevel="0" collapsed="false">
      <c r="A67" s="15"/>
      <c r="B67" s="16"/>
      <c r="C67" s="16"/>
      <c r="D67" s="16"/>
      <c r="E67" s="16"/>
      <c r="F67" s="16"/>
      <c r="G67" s="17"/>
    </row>
    <row r="68" customFormat="false" ht="15" hidden="false" customHeight="false" outlineLevel="0" collapsed="false">
      <c r="A68" s="15"/>
      <c r="B68" s="16"/>
      <c r="C68" s="16"/>
      <c r="D68" s="16"/>
      <c r="E68" s="16"/>
      <c r="F68" s="16"/>
      <c r="G68" s="17"/>
    </row>
    <row r="69" customFormat="false" ht="15" hidden="false" customHeight="false" outlineLevel="0" collapsed="false">
      <c r="A69" s="15"/>
      <c r="B69" s="16"/>
      <c r="C69" s="16"/>
      <c r="D69" s="16"/>
      <c r="E69" s="16"/>
      <c r="F69" s="16"/>
      <c r="G69" s="17"/>
    </row>
    <row r="70" customFormat="false" ht="15" hidden="false" customHeight="false" outlineLevel="0" collapsed="false">
      <c r="A70" s="15"/>
      <c r="B70" s="16"/>
      <c r="C70" s="16"/>
      <c r="D70" s="16"/>
      <c r="E70" s="16"/>
      <c r="F70" s="16"/>
      <c r="G70" s="17"/>
    </row>
    <row r="71" customFormat="false" ht="15" hidden="false" customHeight="false" outlineLevel="0" collapsed="false">
      <c r="A71" s="15"/>
      <c r="B71" s="16"/>
      <c r="C71" s="16"/>
      <c r="D71" s="16"/>
      <c r="E71" s="16"/>
      <c r="F71" s="16"/>
      <c r="G71" s="17"/>
    </row>
    <row r="72" customFormat="false" ht="15" hidden="false" customHeight="false" outlineLevel="0" collapsed="false">
      <c r="A72" s="15"/>
      <c r="B72" s="16"/>
      <c r="C72" s="16"/>
      <c r="D72" s="16"/>
      <c r="E72" s="16"/>
      <c r="F72" s="16"/>
      <c r="G72" s="17"/>
    </row>
    <row r="73" customFormat="false" ht="15" hidden="false" customHeight="false" outlineLevel="0" collapsed="false">
      <c r="A73" s="15"/>
      <c r="B73" s="16"/>
      <c r="C73" s="16"/>
      <c r="D73" s="16"/>
      <c r="E73" s="16"/>
      <c r="F73" s="16"/>
      <c r="G73" s="17"/>
    </row>
    <row r="74" customFormat="false" ht="15" hidden="false" customHeight="false" outlineLevel="0" collapsed="false">
      <c r="A74" s="15"/>
      <c r="B74" s="16"/>
      <c r="C74" s="16"/>
      <c r="D74" s="16"/>
      <c r="E74" s="16"/>
      <c r="F74" s="16"/>
      <c r="G74" s="17"/>
    </row>
    <row r="75" customFormat="false" ht="15" hidden="false" customHeight="false" outlineLevel="0" collapsed="false">
      <c r="A75" s="15"/>
      <c r="B75" s="16"/>
      <c r="C75" s="16"/>
      <c r="D75" s="16"/>
      <c r="E75" s="16"/>
      <c r="F75" s="16"/>
      <c r="G75" s="17"/>
    </row>
    <row r="76" customFormat="false" ht="15" hidden="false" customHeight="false" outlineLevel="0" collapsed="false">
      <c r="A76" s="15"/>
      <c r="B76" s="16"/>
      <c r="C76" s="16"/>
      <c r="D76" s="16"/>
      <c r="E76" s="16"/>
      <c r="F76" s="16"/>
      <c r="G76" s="17"/>
    </row>
    <row r="77" customFormat="false" ht="15" hidden="false" customHeight="false" outlineLevel="0" collapsed="false">
      <c r="A77" s="15"/>
      <c r="B77" s="16"/>
      <c r="C77" s="16"/>
      <c r="D77" s="16"/>
      <c r="E77" s="16"/>
      <c r="F77" s="16"/>
      <c r="G77" s="17"/>
    </row>
    <row r="78" customFormat="false" ht="15" hidden="false" customHeight="false" outlineLevel="0" collapsed="false">
      <c r="A78" s="15"/>
      <c r="B78" s="16"/>
      <c r="C78" s="16"/>
      <c r="D78" s="16"/>
      <c r="E78" s="16"/>
      <c r="F78" s="16"/>
      <c r="G78" s="17"/>
    </row>
    <row r="79" customFormat="false" ht="15" hidden="false" customHeight="false" outlineLevel="0" collapsed="false">
      <c r="A79" s="15"/>
      <c r="B79" s="16"/>
      <c r="C79" s="16"/>
      <c r="D79" s="16"/>
      <c r="E79" s="16"/>
      <c r="F79" s="16"/>
      <c r="G79" s="17"/>
    </row>
    <row r="80" customFormat="false" ht="15" hidden="false" customHeight="false" outlineLevel="0" collapsed="false">
      <c r="A80" s="15"/>
      <c r="B80" s="16"/>
      <c r="C80" s="16"/>
      <c r="D80" s="16"/>
      <c r="E80" s="16"/>
      <c r="F80" s="16"/>
      <c r="G80" s="17"/>
    </row>
    <row r="81" customFormat="false" ht="15" hidden="false" customHeight="false" outlineLevel="0" collapsed="false">
      <c r="A81" s="15"/>
      <c r="B81" s="16"/>
      <c r="C81" s="16"/>
      <c r="D81" s="16"/>
      <c r="E81" s="16"/>
      <c r="F81" s="16"/>
      <c r="G81" s="17"/>
    </row>
    <row r="82" customFormat="false" ht="15" hidden="false" customHeight="false" outlineLevel="0" collapsed="false">
      <c r="A82" s="15"/>
      <c r="B82" s="16"/>
      <c r="C82" s="16"/>
      <c r="D82" s="16"/>
      <c r="E82" s="16"/>
      <c r="F82" s="16"/>
      <c r="G82" s="17"/>
    </row>
    <row r="83" customFormat="false" ht="15" hidden="false" customHeight="false" outlineLevel="0" collapsed="false">
      <c r="A83" s="15"/>
      <c r="B83" s="16"/>
      <c r="C83" s="16"/>
      <c r="D83" s="16"/>
      <c r="E83" s="16"/>
      <c r="F83" s="16"/>
      <c r="G83" s="17"/>
    </row>
    <row r="84" customFormat="false" ht="15" hidden="false" customHeight="false" outlineLevel="0" collapsed="false">
      <c r="A84" s="15"/>
      <c r="B84" s="16"/>
      <c r="C84" s="16"/>
      <c r="D84" s="16"/>
      <c r="E84" s="16"/>
      <c r="F84" s="16"/>
      <c r="G84" s="17"/>
    </row>
    <row r="85" customFormat="false" ht="15" hidden="false" customHeight="false" outlineLevel="0" collapsed="false">
      <c r="A85" s="15"/>
      <c r="B85" s="16"/>
      <c r="C85" s="16"/>
      <c r="D85" s="16"/>
      <c r="E85" s="16"/>
      <c r="F85" s="16"/>
      <c r="G85" s="17"/>
    </row>
    <row r="86" customFormat="false" ht="15" hidden="false" customHeight="false" outlineLevel="0" collapsed="false">
      <c r="A86" s="15"/>
      <c r="B86" s="16"/>
      <c r="C86" s="16"/>
      <c r="D86" s="16"/>
      <c r="E86" s="16"/>
      <c r="F86" s="16"/>
      <c r="G86" s="17"/>
    </row>
    <row r="87" customFormat="false" ht="15" hidden="false" customHeight="false" outlineLevel="0" collapsed="false">
      <c r="A87" s="15"/>
      <c r="B87" s="16"/>
      <c r="C87" s="16"/>
      <c r="D87" s="16"/>
      <c r="E87" s="16"/>
      <c r="F87" s="16"/>
      <c r="G87" s="17"/>
    </row>
    <row r="88" customFormat="false" ht="15" hidden="false" customHeight="false" outlineLevel="0" collapsed="false">
      <c r="A88" s="15"/>
      <c r="B88" s="16"/>
      <c r="C88" s="16"/>
      <c r="D88" s="16"/>
      <c r="E88" s="16"/>
      <c r="F88" s="16"/>
      <c r="G88" s="17"/>
    </row>
    <row r="89" customFormat="false" ht="15" hidden="false" customHeight="false" outlineLevel="0" collapsed="false">
      <c r="A89" s="15"/>
      <c r="B89" s="16"/>
      <c r="C89" s="16"/>
      <c r="D89" s="16"/>
      <c r="E89" s="16"/>
      <c r="F89" s="16"/>
      <c r="G89" s="17"/>
    </row>
    <row r="90" customFormat="false" ht="15" hidden="false" customHeight="false" outlineLevel="0" collapsed="false">
      <c r="A90" s="15"/>
      <c r="B90" s="16"/>
      <c r="C90" s="16"/>
      <c r="D90" s="16"/>
      <c r="E90" s="16"/>
      <c r="F90" s="16"/>
      <c r="G90" s="17"/>
    </row>
    <row r="91" customFormat="false" ht="15" hidden="false" customHeight="false" outlineLevel="0" collapsed="false">
      <c r="A91" s="15"/>
      <c r="B91" s="16"/>
      <c r="C91" s="16"/>
      <c r="D91" s="16"/>
      <c r="E91" s="16"/>
      <c r="F91" s="16"/>
      <c r="G91" s="17"/>
    </row>
    <row r="92" customFormat="false" ht="15" hidden="false" customHeight="false" outlineLevel="0" collapsed="false">
      <c r="A92" s="15"/>
      <c r="B92" s="16"/>
      <c r="C92" s="16"/>
      <c r="D92" s="16"/>
      <c r="E92" s="16"/>
      <c r="F92" s="16"/>
      <c r="G92" s="17"/>
    </row>
    <row r="93" customFormat="false" ht="15" hidden="false" customHeight="false" outlineLevel="0" collapsed="false">
      <c r="A93" s="15"/>
      <c r="B93" s="16"/>
      <c r="C93" s="16"/>
      <c r="D93" s="16"/>
      <c r="E93" s="16"/>
      <c r="F93" s="16"/>
      <c r="G93" s="17"/>
    </row>
    <row r="94" customFormat="false" ht="15" hidden="false" customHeight="false" outlineLevel="0" collapsed="false">
      <c r="A94" s="15"/>
      <c r="B94" s="16"/>
      <c r="C94" s="16"/>
      <c r="D94" s="16"/>
      <c r="E94" s="16"/>
      <c r="F94" s="16"/>
      <c r="G94" s="17"/>
    </row>
    <row r="95" customFormat="false" ht="15" hidden="false" customHeight="false" outlineLevel="0" collapsed="false">
      <c r="A95" s="15"/>
      <c r="B95" s="16"/>
      <c r="C95" s="16"/>
      <c r="D95" s="16"/>
      <c r="E95" s="16"/>
      <c r="F95" s="16"/>
      <c r="G95" s="17"/>
    </row>
    <row r="96" customFormat="false" ht="15" hidden="false" customHeight="false" outlineLevel="0" collapsed="false">
      <c r="A96" s="15"/>
      <c r="B96" s="16"/>
      <c r="C96" s="16"/>
      <c r="D96" s="16"/>
      <c r="E96" s="16"/>
      <c r="F96" s="16"/>
      <c r="G96" s="17"/>
    </row>
    <row r="97" customFormat="false" ht="15" hidden="false" customHeight="false" outlineLevel="0" collapsed="false">
      <c r="A97" s="15"/>
      <c r="B97" s="16"/>
      <c r="C97" s="16"/>
      <c r="D97" s="16"/>
      <c r="E97" s="16"/>
      <c r="F97" s="16"/>
      <c r="G97" s="17"/>
    </row>
    <row r="98" customFormat="false" ht="15" hidden="false" customHeight="false" outlineLevel="0" collapsed="false">
      <c r="A98" s="15"/>
      <c r="B98" s="16"/>
      <c r="C98" s="16"/>
      <c r="D98" s="16"/>
      <c r="E98" s="16"/>
      <c r="F98" s="16"/>
      <c r="G98" s="17"/>
    </row>
    <row r="99" customFormat="false" ht="15" hidden="false" customHeight="false" outlineLevel="0" collapsed="false">
      <c r="A99" s="15"/>
      <c r="B99" s="16"/>
      <c r="C99" s="16"/>
      <c r="D99" s="16"/>
      <c r="E99" s="16"/>
      <c r="F99" s="16"/>
      <c r="G99" s="17"/>
    </row>
    <row r="100" customFormat="false" ht="15" hidden="false" customHeight="false" outlineLevel="0" collapsed="false">
      <c r="A100" s="15"/>
      <c r="B100" s="16"/>
      <c r="C100" s="16"/>
      <c r="D100" s="16"/>
      <c r="E100" s="16"/>
      <c r="F100" s="16"/>
      <c r="G100" s="17"/>
    </row>
    <row r="101" customFormat="false" ht="15" hidden="false" customHeight="false" outlineLevel="0" collapsed="false">
      <c r="A101" s="15"/>
      <c r="B101" s="16"/>
      <c r="C101" s="16"/>
      <c r="D101" s="16"/>
      <c r="E101" s="16"/>
      <c r="F101" s="16"/>
      <c r="G101" s="17"/>
    </row>
    <row r="102" customFormat="false" ht="15" hidden="false" customHeight="false" outlineLevel="0" collapsed="false">
      <c r="A102" s="15"/>
      <c r="B102" s="16"/>
      <c r="C102" s="16"/>
      <c r="D102" s="16"/>
      <c r="E102" s="16"/>
      <c r="F102" s="16"/>
      <c r="G102" s="17"/>
    </row>
    <row r="103" customFormat="false" ht="15" hidden="false" customHeight="false" outlineLevel="0" collapsed="false">
      <c r="A103" s="15"/>
      <c r="B103" s="16"/>
      <c r="C103" s="16"/>
      <c r="D103" s="16"/>
      <c r="E103" s="16"/>
      <c r="F103" s="16"/>
      <c r="G103" s="17"/>
    </row>
    <row r="104" customFormat="false" ht="15" hidden="false" customHeight="false" outlineLevel="0" collapsed="false">
      <c r="A104" s="15"/>
      <c r="B104" s="16"/>
      <c r="C104" s="16"/>
      <c r="D104" s="16"/>
      <c r="E104" s="16"/>
      <c r="F104" s="16"/>
      <c r="G104" s="17"/>
    </row>
    <row r="105" customFormat="false" ht="15" hidden="false" customHeight="false" outlineLevel="0" collapsed="false">
      <c r="A105" s="15"/>
      <c r="B105" s="16"/>
      <c r="C105" s="16"/>
      <c r="D105" s="16"/>
      <c r="E105" s="16"/>
      <c r="F105" s="16"/>
      <c r="G105" s="17"/>
    </row>
    <row r="106" customFormat="false" ht="15" hidden="false" customHeight="false" outlineLevel="0" collapsed="false">
      <c r="A106" s="15"/>
      <c r="B106" s="16"/>
      <c r="C106" s="16"/>
      <c r="D106" s="16"/>
      <c r="E106" s="16"/>
      <c r="F106" s="16"/>
      <c r="G106" s="17"/>
    </row>
    <row r="107" customFormat="false" ht="15" hidden="false" customHeight="false" outlineLevel="0" collapsed="false">
      <c r="A107" s="15"/>
      <c r="B107" s="16"/>
      <c r="C107" s="16"/>
      <c r="D107" s="16"/>
      <c r="E107" s="16"/>
      <c r="F107" s="16"/>
      <c r="G107" s="17"/>
    </row>
    <row r="108" customFormat="false" ht="15" hidden="false" customHeight="false" outlineLevel="0" collapsed="false">
      <c r="A108" s="15"/>
      <c r="B108" s="16"/>
      <c r="C108" s="16"/>
      <c r="D108" s="16"/>
      <c r="E108" s="16"/>
      <c r="F108" s="16"/>
      <c r="G108" s="17"/>
    </row>
    <row r="109" customFormat="false" ht="15" hidden="false" customHeight="false" outlineLevel="0" collapsed="false">
      <c r="A109" s="15"/>
      <c r="B109" s="16"/>
      <c r="C109" s="16"/>
      <c r="D109" s="16"/>
      <c r="E109" s="16"/>
      <c r="F109" s="16"/>
      <c r="G109" s="17"/>
    </row>
    <row r="110" customFormat="false" ht="15" hidden="false" customHeight="false" outlineLevel="0" collapsed="false">
      <c r="A110" s="15"/>
      <c r="B110" s="16"/>
      <c r="C110" s="16"/>
      <c r="D110" s="16"/>
      <c r="E110" s="16"/>
      <c r="F110" s="16"/>
      <c r="G110" s="17"/>
    </row>
    <row r="111" customFormat="false" ht="15" hidden="false" customHeight="false" outlineLevel="0" collapsed="false">
      <c r="A111" s="15"/>
      <c r="B111" s="16"/>
      <c r="C111" s="16"/>
      <c r="D111" s="16"/>
      <c r="E111" s="16"/>
      <c r="F111" s="16"/>
      <c r="G111" s="17"/>
    </row>
    <row r="112" customFormat="false" ht="15" hidden="false" customHeight="false" outlineLevel="0" collapsed="false">
      <c r="A112" s="15"/>
      <c r="B112" s="16"/>
      <c r="C112" s="16"/>
      <c r="D112" s="16"/>
      <c r="E112" s="16"/>
      <c r="F112" s="16"/>
      <c r="G112" s="17"/>
    </row>
    <row r="113" customFormat="false" ht="15" hidden="false" customHeight="false" outlineLevel="0" collapsed="false">
      <c r="A113" s="15"/>
      <c r="B113" s="16"/>
      <c r="C113" s="16"/>
      <c r="D113" s="16"/>
      <c r="E113" s="16"/>
      <c r="F113" s="16"/>
      <c r="G113" s="17"/>
    </row>
    <row r="114" customFormat="false" ht="15" hidden="false" customHeight="false" outlineLevel="0" collapsed="false">
      <c r="A114" s="15"/>
      <c r="B114" s="16"/>
      <c r="C114" s="16"/>
      <c r="D114" s="16"/>
      <c r="E114" s="16"/>
      <c r="F114" s="16"/>
      <c r="G114" s="17"/>
    </row>
    <row r="115" customFormat="false" ht="15" hidden="false" customHeight="false" outlineLevel="0" collapsed="false">
      <c r="A115" s="15"/>
      <c r="B115" s="16"/>
      <c r="C115" s="16"/>
      <c r="D115" s="16"/>
      <c r="E115" s="16"/>
      <c r="F115" s="16"/>
      <c r="G115" s="17"/>
    </row>
    <row r="116" customFormat="false" ht="15" hidden="false" customHeight="false" outlineLevel="0" collapsed="false">
      <c r="A116" s="15"/>
      <c r="B116" s="16"/>
      <c r="C116" s="16"/>
      <c r="D116" s="16"/>
      <c r="E116" s="16"/>
      <c r="F116" s="16"/>
      <c r="G116" s="17"/>
    </row>
    <row r="117" customFormat="false" ht="15" hidden="false" customHeight="false" outlineLevel="0" collapsed="false">
      <c r="A117" s="15"/>
      <c r="B117" s="16"/>
      <c r="C117" s="16"/>
      <c r="D117" s="16"/>
      <c r="E117" s="16"/>
      <c r="F117" s="16"/>
      <c r="G117" s="17"/>
    </row>
    <row r="118" customFormat="false" ht="15" hidden="false" customHeight="false" outlineLevel="0" collapsed="false">
      <c r="A118" s="15"/>
      <c r="B118" s="16"/>
      <c r="C118" s="16"/>
      <c r="D118" s="16"/>
      <c r="E118" s="16"/>
      <c r="F118" s="16"/>
      <c r="G118" s="17"/>
    </row>
    <row r="119" customFormat="false" ht="15" hidden="false" customHeight="false" outlineLevel="0" collapsed="false">
      <c r="A119" s="15"/>
      <c r="B119" s="16"/>
      <c r="C119" s="16"/>
      <c r="D119" s="16"/>
      <c r="E119" s="16"/>
      <c r="F119" s="16"/>
      <c r="G119" s="17"/>
    </row>
    <row r="120" customFormat="false" ht="15" hidden="false" customHeight="false" outlineLevel="0" collapsed="false">
      <c r="A120" s="15"/>
      <c r="B120" s="16"/>
      <c r="C120" s="16"/>
      <c r="D120" s="16"/>
      <c r="E120" s="16"/>
      <c r="F120" s="16"/>
      <c r="G120" s="17"/>
    </row>
    <row r="121" customFormat="false" ht="15" hidden="false" customHeight="false" outlineLevel="0" collapsed="false">
      <c r="A121" s="15"/>
      <c r="B121" s="16"/>
      <c r="C121" s="16"/>
      <c r="D121" s="16"/>
      <c r="E121" s="16"/>
      <c r="F121" s="16"/>
      <c r="G121" s="17"/>
    </row>
    <row r="122" customFormat="false" ht="15" hidden="false" customHeight="false" outlineLevel="0" collapsed="false">
      <c r="A122" s="15"/>
      <c r="B122" s="16"/>
      <c r="C122" s="16"/>
      <c r="D122" s="16"/>
      <c r="E122" s="16"/>
      <c r="F122" s="16"/>
      <c r="G122" s="17"/>
    </row>
    <row r="123" customFormat="false" ht="15" hidden="false" customHeight="false" outlineLevel="0" collapsed="false">
      <c r="A123" s="15"/>
      <c r="B123" s="16"/>
      <c r="C123" s="16"/>
      <c r="D123" s="16"/>
      <c r="E123" s="16"/>
      <c r="F123" s="16"/>
      <c r="G123" s="17"/>
    </row>
    <row r="124" customFormat="false" ht="15" hidden="false" customHeight="false" outlineLevel="0" collapsed="false">
      <c r="A124" s="15"/>
      <c r="B124" s="16"/>
      <c r="C124" s="16"/>
      <c r="D124" s="16"/>
      <c r="E124" s="16"/>
      <c r="F124" s="16"/>
      <c r="G124" s="17"/>
    </row>
    <row r="125" customFormat="false" ht="15" hidden="false" customHeight="false" outlineLevel="0" collapsed="false">
      <c r="A125" s="15"/>
      <c r="B125" s="16"/>
      <c r="C125" s="16"/>
      <c r="D125" s="16"/>
      <c r="E125" s="16"/>
      <c r="F125" s="16"/>
      <c r="G125" s="17"/>
    </row>
    <row r="126" customFormat="false" ht="15" hidden="false" customHeight="false" outlineLevel="0" collapsed="false">
      <c r="A126" s="15"/>
      <c r="B126" s="16"/>
      <c r="C126" s="16"/>
      <c r="D126" s="16"/>
      <c r="E126" s="16"/>
      <c r="F126" s="16"/>
      <c r="G126" s="17"/>
    </row>
    <row r="127" customFormat="false" ht="15" hidden="false" customHeight="false" outlineLevel="0" collapsed="false">
      <c r="A127" s="15"/>
      <c r="B127" s="16"/>
      <c r="C127" s="16"/>
      <c r="D127" s="16"/>
      <c r="E127" s="16"/>
      <c r="F127" s="16"/>
      <c r="G127" s="17"/>
    </row>
  </sheetData>
  <conditionalFormatting sqref="E8:E127">
    <cfRule type="cellIs" priority="2" operator="equal" aboveAverage="0" equalAverage="0" bottom="0" percent="0" rank="0" text="" dxfId="6">
      <formula>"Masuk"</formula>
    </cfRule>
    <cfRule type="cellIs" priority="3" operator="equal" aboveAverage="0" equalAverage="0" bottom="0" percent="0" rank="0" text="" dxfId="7">
      <formula>"Keluar"</formula>
    </cfRule>
  </conditionalFormatting>
  <conditionalFormatting sqref="F8:F127">
    <cfRule type="cellIs" priority="4" operator="equal" aboveAverage="0" equalAverage="0" bottom="0" percent="0" rank="0" text="" dxfId="8">
      <formula>"Lunas"</formula>
    </cfRule>
    <cfRule type="cellIs" priority="5" operator="equal" aboveAverage="0" equalAverage="0" bottom="0" percent="0" rank="0" text="" dxfId="9">
      <formula>"Pending"</formula>
    </cfRule>
  </conditionalFormatting>
  <dataValidations count="3">
    <dataValidation allowBlank="true" errorStyle="stop" operator="between" showDropDown="false" showErrorMessage="false" showInputMessage="false" sqref="E8:E127" type="list">
      <formula1>Data!$D$2:$D$3</formula1>
      <formula2>0</formula2>
    </dataValidation>
    <dataValidation allowBlank="true" errorStyle="stop" operator="between" showDropDown="false" showErrorMessage="false" showInputMessage="false" sqref="F8:F127" type="list">
      <formula1>Data!$E$2:$E$3</formula1>
      <formula2>0</formula2>
    </dataValidation>
    <dataValidation allowBlank="true" errorStyle="stop" operator="between" showDropDown="false" showErrorMessage="false" showInputMessage="false" sqref="C8:C127" type="list">
      <formula1>Data!$A$2:$A$9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78D6"/>
    <pageSetUpPr fitToPage="false"/>
  </sheetPr>
  <dimension ref="A1:F6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2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5" min="5" style="0" width="10"/>
    <col collapsed="false" customWidth="true" hidden="false" outlineLevel="0" max="6" min="6" style="0" width="15"/>
  </cols>
  <sheetData>
    <row r="1" customFormat="false" ht="19.7" hidden="false" customHeight="false" outlineLevel="0" collapsed="false">
      <c r="A1" s="1" t="s">
        <v>70</v>
      </c>
    </row>
    <row r="2" customFormat="false" ht="15" hidden="false" customHeight="false" outlineLevel="0" collapsed="false">
      <c r="A2" s="2" t="s">
        <v>71</v>
      </c>
    </row>
    <row r="3" customFormat="false" ht="15" hidden="false" customHeight="false" outlineLevel="0" collapsed="false">
      <c r="B3" s="3" t="s">
        <v>20</v>
      </c>
      <c r="C3" s="3" t="s">
        <v>21</v>
      </c>
      <c r="D3" s="3" t="s">
        <v>22</v>
      </c>
      <c r="E3" s="3" t="s">
        <v>23</v>
      </c>
      <c r="F3" s="3" t="s">
        <v>72</v>
      </c>
    </row>
    <row r="4" customFormat="false" ht="21.75" hidden="false" customHeight="true" outlineLevel="0" collapsed="false">
      <c r="B4" s="14" t="n">
        <v>0</v>
      </c>
      <c r="C4" s="5" t="n">
        <f aca="false">SUMIFS(TblKasPribadi[Jumlah],TblKasPribadi[Tipe],"Masuk")</f>
        <v>6000000</v>
      </c>
      <c r="D4" s="5" t="n">
        <f aca="false">SUMIFS(TblKasPribadi[Jumlah],TblKasPribadi[Tipe],"Keluar")</f>
        <v>2500000</v>
      </c>
      <c r="E4" s="5" t="n">
        <f aca="false">B4+C4-D4</f>
        <v>3500000</v>
      </c>
      <c r="F4" s="5" t="n">
        <f aca="false">SUMPRODUCT((TblKasPribadi[Tipe]="Masuk")*(TblKasPribadi[Kategori]="Prive/Gaji Owner")*(TEXT(TblKasPribadi[Tanggal],"yyyy-mm")=TEXT(TODAY(),"yyyy-mm"))*TblKasPribadi[Jumlah])</f>
        <v>0</v>
      </c>
    </row>
    <row r="7" customFormat="false" ht="27.75" hidden="false" customHeight="true" outlineLevel="0" collapsed="false">
      <c r="A7" s="9" t="s">
        <v>13</v>
      </c>
      <c r="B7" s="10" t="s">
        <v>15</v>
      </c>
      <c r="C7" s="10" t="s">
        <v>6</v>
      </c>
      <c r="D7" s="10" t="s">
        <v>73</v>
      </c>
      <c r="E7" s="10" t="s">
        <v>16</v>
      </c>
      <c r="F7" s="10" t="s">
        <v>17</v>
      </c>
    </row>
    <row r="8" customFormat="false" ht="15" hidden="false" customHeight="false" outlineLevel="0" collapsed="false">
      <c r="A8" s="15" t="n">
        <v>46032</v>
      </c>
      <c r="B8" s="16" t="s">
        <v>74</v>
      </c>
      <c r="C8" s="16" t="s">
        <v>75</v>
      </c>
      <c r="D8" s="16" t="s">
        <v>76</v>
      </c>
      <c r="E8" s="16" t="s">
        <v>30</v>
      </c>
      <c r="F8" s="17" t="n">
        <v>6000000</v>
      </c>
    </row>
    <row r="9" customFormat="false" ht="15" hidden="false" customHeight="false" outlineLevel="0" collapsed="false">
      <c r="A9" s="15" t="n">
        <v>46034</v>
      </c>
      <c r="B9" s="16" t="s">
        <v>77</v>
      </c>
      <c r="C9" s="16" t="s">
        <v>78</v>
      </c>
      <c r="D9" s="16" t="s">
        <v>79</v>
      </c>
      <c r="E9" s="16" t="s">
        <v>80</v>
      </c>
      <c r="F9" s="17" t="n">
        <v>2500000</v>
      </c>
    </row>
    <row r="10" customFormat="false" ht="15" hidden="false" customHeight="false" outlineLevel="0" collapsed="false">
      <c r="A10" s="15"/>
      <c r="B10" s="16"/>
      <c r="C10" s="16"/>
      <c r="D10" s="16"/>
      <c r="E10" s="16"/>
      <c r="F10" s="17"/>
    </row>
    <row r="11" customFormat="false" ht="15" hidden="false" customHeight="false" outlineLevel="0" collapsed="false">
      <c r="A11" s="15"/>
      <c r="B11" s="16"/>
      <c r="C11" s="16"/>
      <c r="D11" s="16"/>
      <c r="E11" s="16"/>
      <c r="F11" s="17"/>
    </row>
    <row r="12" customFormat="false" ht="15" hidden="false" customHeight="false" outlineLevel="0" collapsed="false">
      <c r="A12" s="15"/>
      <c r="B12" s="16"/>
      <c r="C12" s="16"/>
      <c r="D12" s="16"/>
      <c r="E12" s="16"/>
      <c r="F12" s="17"/>
    </row>
    <row r="13" customFormat="false" ht="15" hidden="false" customHeight="false" outlineLevel="0" collapsed="false">
      <c r="A13" s="15"/>
      <c r="B13" s="16"/>
      <c r="C13" s="16"/>
      <c r="D13" s="16"/>
      <c r="E13" s="16"/>
      <c r="F13" s="17"/>
    </row>
    <row r="14" customFormat="false" ht="15" hidden="false" customHeight="false" outlineLevel="0" collapsed="false">
      <c r="A14" s="15"/>
      <c r="B14" s="16"/>
      <c r="C14" s="16"/>
      <c r="D14" s="16"/>
      <c r="E14" s="16"/>
      <c r="F14" s="17"/>
    </row>
    <row r="15" customFormat="false" ht="15" hidden="false" customHeight="false" outlineLevel="0" collapsed="false">
      <c r="A15" s="15"/>
      <c r="B15" s="16"/>
      <c r="C15" s="16"/>
      <c r="D15" s="16"/>
      <c r="E15" s="16"/>
      <c r="F15" s="17"/>
    </row>
    <row r="16" customFormat="false" ht="15" hidden="false" customHeight="false" outlineLevel="0" collapsed="false">
      <c r="A16" s="15"/>
      <c r="B16" s="16"/>
      <c r="C16" s="16"/>
      <c r="D16" s="16"/>
      <c r="E16" s="16"/>
      <c r="F16" s="17"/>
    </row>
    <row r="17" customFormat="false" ht="15" hidden="false" customHeight="false" outlineLevel="0" collapsed="false">
      <c r="A17" s="15"/>
      <c r="B17" s="16"/>
      <c r="C17" s="16"/>
      <c r="D17" s="16"/>
      <c r="E17" s="16"/>
      <c r="F17" s="17"/>
    </row>
    <row r="18" customFormat="false" ht="15" hidden="false" customHeight="false" outlineLevel="0" collapsed="false">
      <c r="A18" s="15"/>
      <c r="B18" s="16"/>
      <c r="C18" s="16"/>
      <c r="D18" s="16"/>
      <c r="E18" s="16"/>
      <c r="F18" s="17"/>
    </row>
    <row r="19" customFormat="false" ht="15" hidden="false" customHeight="false" outlineLevel="0" collapsed="false">
      <c r="A19" s="15"/>
      <c r="B19" s="16"/>
      <c r="C19" s="16"/>
      <c r="D19" s="16"/>
      <c r="E19" s="16"/>
      <c r="F19" s="17"/>
    </row>
    <row r="20" customFormat="false" ht="15" hidden="false" customHeight="false" outlineLevel="0" collapsed="false">
      <c r="A20" s="15"/>
      <c r="B20" s="16"/>
      <c r="C20" s="16"/>
      <c r="D20" s="16"/>
      <c r="E20" s="16"/>
      <c r="F20" s="17"/>
    </row>
    <row r="21" customFormat="false" ht="15" hidden="false" customHeight="false" outlineLevel="0" collapsed="false">
      <c r="A21" s="15"/>
      <c r="B21" s="16"/>
      <c r="C21" s="16"/>
      <c r="D21" s="16"/>
      <c r="E21" s="16"/>
      <c r="F21" s="17"/>
    </row>
    <row r="22" customFormat="false" ht="15" hidden="false" customHeight="false" outlineLevel="0" collapsed="false">
      <c r="A22" s="15"/>
      <c r="B22" s="16"/>
      <c r="C22" s="16"/>
      <c r="D22" s="16"/>
      <c r="E22" s="16"/>
      <c r="F22" s="17"/>
    </row>
    <row r="23" customFormat="false" ht="15" hidden="false" customHeight="false" outlineLevel="0" collapsed="false">
      <c r="A23" s="15"/>
      <c r="B23" s="16"/>
      <c r="C23" s="16"/>
      <c r="D23" s="16"/>
      <c r="E23" s="16"/>
      <c r="F23" s="17"/>
    </row>
    <row r="24" customFormat="false" ht="15" hidden="false" customHeight="false" outlineLevel="0" collapsed="false">
      <c r="A24" s="15"/>
      <c r="B24" s="16"/>
      <c r="C24" s="16"/>
      <c r="D24" s="16"/>
      <c r="E24" s="16"/>
      <c r="F24" s="17"/>
    </row>
    <row r="25" customFormat="false" ht="15" hidden="false" customHeight="false" outlineLevel="0" collapsed="false">
      <c r="A25" s="15"/>
      <c r="B25" s="16"/>
      <c r="C25" s="16"/>
      <c r="D25" s="16"/>
      <c r="E25" s="16"/>
      <c r="F25" s="17"/>
    </row>
    <row r="26" customFormat="false" ht="15" hidden="false" customHeight="false" outlineLevel="0" collapsed="false">
      <c r="A26" s="15"/>
      <c r="B26" s="16"/>
      <c r="C26" s="16"/>
      <c r="D26" s="16"/>
      <c r="E26" s="16"/>
      <c r="F26" s="17"/>
    </row>
    <row r="27" customFormat="false" ht="15" hidden="false" customHeight="false" outlineLevel="0" collapsed="false">
      <c r="A27" s="15"/>
      <c r="B27" s="16"/>
      <c r="C27" s="16"/>
      <c r="D27" s="16"/>
      <c r="E27" s="16"/>
      <c r="F27" s="17"/>
    </row>
    <row r="28" customFormat="false" ht="15" hidden="false" customHeight="false" outlineLevel="0" collapsed="false">
      <c r="A28" s="15"/>
      <c r="B28" s="16"/>
      <c r="C28" s="16"/>
      <c r="D28" s="16"/>
      <c r="E28" s="16"/>
      <c r="F28" s="17"/>
    </row>
    <row r="29" customFormat="false" ht="15" hidden="false" customHeight="false" outlineLevel="0" collapsed="false">
      <c r="A29" s="15"/>
      <c r="B29" s="16"/>
      <c r="C29" s="16"/>
      <c r="D29" s="16"/>
      <c r="E29" s="16"/>
      <c r="F29" s="17"/>
    </row>
    <row r="30" customFormat="false" ht="15" hidden="false" customHeight="false" outlineLevel="0" collapsed="false">
      <c r="A30" s="15"/>
      <c r="B30" s="16"/>
      <c r="C30" s="16"/>
      <c r="D30" s="16"/>
      <c r="E30" s="16"/>
      <c r="F30" s="17"/>
    </row>
    <row r="31" customFormat="false" ht="15" hidden="false" customHeight="false" outlineLevel="0" collapsed="false">
      <c r="A31" s="15"/>
      <c r="B31" s="16"/>
      <c r="C31" s="16"/>
      <c r="D31" s="16"/>
      <c r="E31" s="16"/>
      <c r="F31" s="17"/>
    </row>
    <row r="32" customFormat="false" ht="15" hidden="false" customHeight="false" outlineLevel="0" collapsed="false">
      <c r="A32" s="15"/>
      <c r="B32" s="16"/>
      <c r="C32" s="16"/>
      <c r="D32" s="16"/>
      <c r="E32" s="16"/>
      <c r="F32" s="17"/>
    </row>
    <row r="33" customFormat="false" ht="15" hidden="false" customHeight="false" outlineLevel="0" collapsed="false">
      <c r="A33" s="15"/>
      <c r="B33" s="16"/>
      <c r="C33" s="16"/>
      <c r="D33" s="16"/>
      <c r="E33" s="16"/>
      <c r="F33" s="17"/>
    </row>
    <row r="34" customFormat="false" ht="15" hidden="false" customHeight="false" outlineLevel="0" collapsed="false">
      <c r="A34" s="15"/>
      <c r="B34" s="16"/>
      <c r="C34" s="16"/>
      <c r="D34" s="16"/>
      <c r="E34" s="16"/>
      <c r="F34" s="17"/>
    </row>
    <row r="35" customFormat="false" ht="15" hidden="false" customHeight="false" outlineLevel="0" collapsed="false">
      <c r="A35" s="15"/>
      <c r="B35" s="16"/>
      <c r="C35" s="16"/>
      <c r="D35" s="16"/>
      <c r="E35" s="16"/>
      <c r="F35" s="17"/>
    </row>
    <row r="36" customFormat="false" ht="15" hidden="false" customHeight="false" outlineLevel="0" collapsed="false">
      <c r="A36" s="15"/>
      <c r="B36" s="16"/>
      <c r="C36" s="16"/>
      <c r="D36" s="16"/>
      <c r="E36" s="16"/>
      <c r="F36" s="17"/>
    </row>
    <row r="37" customFormat="false" ht="15" hidden="false" customHeight="false" outlineLevel="0" collapsed="false">
      <c r="A37" s="15"/>
      <c r="B37" s="16"/>
      <c r="C37" s="16"/>
      <c r="D37" s="16"/>
      <c r="E37" s="16"/>
      <c r="F37" s="17"/>
    </row>
    <row r="38" customFormat="false" ht="15" hidden="false" customHeight="false" outlineLevel="0" collapsed="false">
      <c r="A38" s="15"/>
      <c r="B38" s="16"/>
      <c r="C38" s="16"/>
      <c r="D38" s="16"/>
      <c r="E38" s="16"/>
      <c r="F38" s="17"/>
    </row>
    <row r="39" customFormat="false" ht="15" hidden="false" customHeight="false" outlineLevel="0" collapsed="false">
      <c r="A39" s="15"/>
      <c r="B39" s="16"/>
      <c r="C39" s="16"/>
      <c r="D39" s="16"/>
      <c r="E39" s="16"/>
      <c r="F39" s="17"/>
    </row>
    <row r="40" customFormat="false" ht="15" hidden="false" customHeight="false" outlineLevel="0" collapsed="false">
      <c r="A40" s="15"/>
      <c r="B40" s="16"/>
      <c r="C40" s="16"/>
      <c r="D40" s="16"/>
      <c r="E40" s="16"/>
      <c r="F40" s="17"/>
    </row>
    <row r="41" customFormat="false" ht="15" hidden="false" customHeight="false" outlineLevel="0" collapsed="false">
      <c r="A41" s="15"/>
      <c r="B41" s="16"/>
      <c r="C41" s="16"/>
      <c r="D41" s="16"/>
      <c r="E41" s="16"/>
      <c r="F41" s="17"/>
    </row>
    <row r="42" customFormat="false" ht="15" hidden="false" customHeight="false" outlineLevel="0" collapsed="false">
      <c r="A42" s="15"/>
      <c r="B42" s="16"/>
      <c r="C42" s="16"/>
      <c r="D42" s="16"/>
      <c r="E42" s="16"/>
      <c r="F42" s="17"/>
    </row>
    <row r="43" customFormat="false" ht="15" hidden="false" customHeight="false" outlineLevel="0" collapsed="false">
      <c r="A43" s="15"/>
      <c r="B43" s="16"/>
      <c r="C43" s="16"/>
      <c r="D43" s="16"/>
      <c r="E43" s="16"/>
      <c r="F43" s="17"/>
    </row>
    <row r="44" customFormat="false" ht="15" hidden="false" customHeight="false" outlineLevel="0" collapsed="false">
      <c r="A44" s="15"/>
      <c r="B44" s="16"/>
      <c r="C44" s="16"/>
      <c r="D44" s="16"/>
      <c r="E44" s="16"/>
      <c r="F44" s="17"/>
    </row>
    <row r="45" customFormat="false" ht="15" hidden="false" customHeight="false" outlineLevel="0" collapsed="false">
      <c r="A45" s="15"/>
      <c r="B45" s="16"/>
      <c r="C45" s="16"/>
      <c r="D45" s="16"/>
      <c r="E45" s="16"/>
      <c r="F45" s="17"/>
    </row>
    <row r="46" customFormat="false" ht="15" hidden="false" customHeight="false" outlineLevel="0" collapsed="false">
      <c r="A46" s="15"/>
      <c r="B46" s="16"/>
      <c r="C46" s="16"/>
      <c r="D46" s="16"/>
      <c r="E46" s="16"/>
      <c r="F46" s="17"/>
    </row>
    <row r="47" customFormat="false" ht="15" hidden="false" customHeight="false" outlineLevel="0" collapsed="false">
      <c r="A47" s="15"/>
      <c r="B47" s="16"/>
      <c r="C47" s="16"/>
      <c r="D47" s="16"/>
      <c r="E47" s="16"/>
      <c r="F47" s="17"/>
    </row>
    <row r="48" customFormat="false" ht="15" hidden="false" customHeight="false" outlineLevel="0" collapsed="false">
      <c r="A48" s="15"/>
      <c r="B48" s="16"/>
      <c r="C48" s="16"/>
      <c r="D48" s="16"/>
      <c r="E48" s="16"/>
      <c r="F48" s="17"/>
    </row>
    <row r="49" customFormat="false" ht="15" hidden="false" customHeight="false" outlineLevel="0" collapsed="false">
      <c r="A49" s="15"/>
      <c r="B49" s="16"/>
      <c r="C49" s="16"/>
      <c r="D49" s="16"/>
      <c r="E49" s="16"/>
      <c r="F49" s="17"/>
    </row>
    <row r="50" customFormat="false" ht="15" hidden="false" customHeight="false" outlineLevel="0" collapsed="false">
      <c r="A50" s="15"/>
      <c r="B50" s="16"/>
      <c r="C50" s="16"/>
      <c r="D50" s="16"/>
      <c r="E50" s="16"/>
      <c r="F50" s="17"/>
    </row>
    <row r="51" customFormat="false" ht="15" hidden="false" customHeight="false" outlineLevel="0" collapsed="false">
      <c r="A51" s="15"/>
      <c r="B51" s="16"/>
      <c r="C51" s="16"/>
      <c r="D51" s="16"/>
      <c r="E51" s="16"/>
      <c r="F51" s="17"/>
    </row>
    <row r="52" customFormat="false" ht="15" hidden="false" customHeight="false" outlineLevel="0" collapsed="false">
      <c r="A52" s="15"/>
      <c r="B52" s="16"/>
      <c r="C52" s="16"/>
      <c r="D52" s="16"/>
      <c r="E52" s="16"/>
      <c r="F52" s="17"/>
    </row>
    <row r="53" customFormat="false" ht="15" hidden="false" customHeight="false" outlineLevel="0" collapsed="false">
      <c r="A53" s="15"/>
      <c r="B53" s="16"/>
      <c r="C53" s="16"/>
      <c r="D53" s="16"/>
      <c r="E53" s="16"/>
      <c r="F53" s="17"/>
    </row>
    <row r="54" customFormat="false" ht="15" hidden="false" customHeight="false" outlineLevel="0" collapsed="false">
      <c r="A54" s="15"/>
      <c r="B54" s="16"/>
      <c r="C54" s="16"/>
      <c r="D54" s="16"/>
      <c r="E54" s="16"/>
      <c r="F54" s="17"/>
    </row>
    <row r="55" customFormat="false" ht="15" hidden="false" customHeight="false" outlineLevel="0" collapsed="false">
      <c r="A55" s="15"/>
      <c r="B55" s="16"/>
      <c r="C55" s="16"/>
      <c r="D55" s="16"/>
      <c r="E55" s="16"/>
      <c r="F55" s="17"/>
    </row>
    <row r="56" customFormat="false" ht="15" hidden="false" customHeight="false" outlineLevel="0" collapsed="false">
      <c r="A56" s="15"/>
      <c r="B56" s="16"/>
      <c r="C56" s="16"/>
      <c r="D56" s="16"/>
      <c r="E56" s="16"/>
      <c r="F56" s="17"/>
    </row>
    <row r="57" customFormat="false" ht="15" hidden="false" customHeight="false" outlineLevel="0" collapsed="false">
      <c r="A57" s="15"/>
      <c r="B57" s="16"/>
      <c r="C57" s="16"/>
      <c r="D57" s="16"/>
      <c r="E57" s="16"/>
      <c r="F57" s="17"/>
    </row>
    <row r="58" customFormat="false" ht="15" hidden="false" customHeight="false" outlineLevel="0" collapsed="false">
      <c r="A58" s="15"/>
      <c r="B58" s="16"/>
      <c r="C58" s="16"/>
      <c r="D58" s="16"/>
      <c r="E58" s="16"/>
      <c r="F58" s="17"/>
    </row>
    <row r="59" customFormat="false" ht="15" hidden="false" customHeight="false" outlineLevel="0" collapsed="false">
      <c r="A59" s="15"/>
      <c r="B59" s="16"/>
      <c r="C59" s="16"/>
      <c r="D59" s="16"/>
      <c r="E59" s="16"/>
      <c r="F59" s="17"/>
    </row>
    <row r="60" customFormat="false" ht="15" hidden="false" customHeight="false" outlineLevel="0" collapsed="false">
      <c r="A60" s="15"/>
      <c r="B60" s="16"/>
      <c r="C60" s="16"/>
      <c r="D60" s="16"/>
      <c r="E60" s="16"/>
      <c r="F60" s="17"/>
    </row>
    <row r="61" customFormat="false" ht="15" hidden="false" customHeight="false" outlineLevel="0" collapsed="false">
      <c r="A61" s="15"/>
      <c r="B61" s="16"/>
      <c r="C61" s="16"/>
      <c r="D61" s="16"/>
      <c r="E61" s="16"/>
      <c r="F61" s="17"/>
    </row>
    <row r="62" customFormat="false" ht="15" hidden="false" customHeight="false" outlineLevel="0" collapsed="false">
      <c r="A62" s="15"/>
      <c r="B62" s="16"/>
      <c r="C62" s="16"/>
      <c r="D62" s="16"/>
      <c r="E62" s="16"/>
      <c r="F62" s="17"/>
    </row>
    <row r="63" customFormat="false" ht="15" hidden="false" customHeight="false" outlineLevel="0" collapsed="false">
      <c r="A63" s="15"/>
      <c r="B63" s="16"/>
      <c r="C63" s="16"/>
      <c r="D63" s="16"/>
      <c r="E63" s="16"/>
      <c r="F63" s="17"/>
    </row>
    <row r="64" customFormat="false" ht="15" hidden="false" customHeight="false" outlineLevel="0" collapsed="false">
      <c r="A64" s="15"/>
      <c r="B64" s="16"/>
      <c r="C64" s="16"/>
      <c r="D64" s="16"/>
      <c r="E64" s="16"/>
      <c r="F64" s="17"/>
    </row>
    <row r="65" customFormat="false" ht="15" hidden="false" customHeight="false" outlineLevel="0" collapsed="false">
      <c r="A65" s="15"/>
      <c r="B65" s="16"/>
      <c r="C65" s="16"/>
      <c r="D65" s="16"/>
      <c r="E65" s="16"/>
      <c r="F65" s="17"/>
    </row>
    <row r="66" customFormat="false" ht="15" hidden="false" customHeight="false" outlineLevel="0" collapsed="false">
      <c r="A66" s="15"/>
      <c r="B66" s="16"/>
      <c r="C66" s="16"/>
      <c r="D66" s="16"/>
      <c r="E66" s="16"/>
      <c r="F66" s="17"/>
    </row>
    <row r="67" customFormat="false" ht="15" hidden="false" customHeight="false" outlineLevel="0" collapsed="false">
      <c r="A67" s="15"/>
      <c r="B67" s="16"/>
      <c r="C67" s="16"/>
      <c r="D67" s="16"/>
      <c r="E67" s="16"/>
      <c r="F67" s="17"/>
    </row>
  </sheetData>
  <conditionalFormatting sqref="E8:E67">
    <cfRule type="cellIs" priority="2" operator="equal" aboveAverage="0" equalAverage="0" bottom="0" percent="0" rank="0" text="" dxfId="6">
      <formula>"Masuk"</formula>
    </cfRule>
    <cfRule type="cellIs" priority="3" operator="equal" aboveAverage="0" equalAverage="0" bottom="0" percent="0" rank="0" text="" dxfId="7">
      <formula>"Keluar"</formula>
    </cfRule>
  </conditionalFormatting>
  <dataValidations count="3">
    <dataValidation allowBlank="true" errorStyle="stop" operator="between" showDropDown="false" showErrorMessage="false" showInputMessage="false" sqref="E8:E67" type="list">
      <formula1>Data!$D$2:$D$3</formula1>
      <formula2>0</formula2>
    </dataValidation>
    <dataValidation allowBlank="true" errorStyle="stop" operator="between" showDropDown="false" showErrorMessage="false" showInputMessage="false" sqref="C8:C67" type="list">
      <formula1>Data!$B$2:$B$9</formula1>
      <formula2>0</formula2>
    </dataValidation>
    <dataValidation allowBlank="true" errorStyle="stop" operator="between" showDropDown="false" showErrorMessage="false" showInputMessage="false" sqref="D8:D67" type="list">
      <formula1>Data!$C$2:$C$4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78D6"/>
    <pageSetUpPr fitToPage="false"/>
  </sheetPr>
  <dimension ref="A1:I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6"/>
    <col collapsed="false" customWidth="true" hidden="false" outlineLevel="0" max="4" min="3" style="0" width="15"/>
    <col collapsed="false" customWidth="true" hidden="false" outlineLevel="0" max="5" min="5" style="0" width="13"/>
    <col collapsed="false" customWidth="true" hidden="false" outlineLevel="0" max="7" min="6" style="0" width="15"/>
    <col collapsed="false" customWidth="true" hidden="false" outlineLevel="0" max="8" min="8" style="0" width="11"/>
    <col collapsed="false" customWidth="true" hidden="false" outlineLevel="0" max="9" min="9" style="0" width="12"/>
  </cols>
  <sheetData>
    <row r="1" customFormat="false" ht="19.7" hidden="false" customHeight="false" outlineLevel="0" collapsed="false">
      <c r="A1" s="1" t="s">
        <v>81</v>
      </c>
    </row>
    <row r="2" customFormat="false" ht="15" hidden="false" customHeight="false" outlineLevel="0" collapsed="false">
      <c r="A2" s="2" t="s">
        <v>82</v>
      </c>
    </row>
    <row r="3" customFormat="false" ht="15" hidden="false" customHeight="false" outlineLevel="0" collapsed="false">
      <c r="B3" s="3" t="s">
        <v>83</v>
      </c>
      <c r="C3" s="3" t="s">
        <v>84</v>
      </c>
      <c r="D3" s="3" t="s">
        <v>85</v>
      </c>
      <c r="E3" s="3" t="s">
        <v>86</v>
      </c>
    </row>
    <row r="4" customFormat="false" ht="21.75" hidden="false" customHeight="true" outlineLevel="0" collapsed="false">
      <c r="B4" s="5" t="n">
        <f aca="false">SUM(B8:B47)</f>
        <v>105000000</v>
      </c>
      <c r="C4" s="5" t="n">
        <f aca="false">SUM(F8:F47)</f>
        <v>64500000</v>
      </c>
      <c r="D4" s="5" t="n">
        <f aca="false">SUM(G8:G47)</f>
        <v>40500000</v>
      </c>
      <c r="E4" s="18" t="n">
        <f aca="false">IF(B4=0,0,D4/B4)</f>
        <v>0.385714285714286</v>
      </c>
    </row>
    <row r="7" customFormat="false" ht="27.75" hidden="false" customHeight="true" outlineLevel="0" collapsed="false">
      <c r="A7" s="9" t="s">
        <v>87</v>
      </c>
      <c r="B7" s="10" t="s">
        <v>88</v>
      </c>
      <c r="C7" s="10" t="s">
        <v>89</v>
      </c>
      <c r="D7" s="10" t="s">
        <v>90</v>
      </c>
      <c r="E7" s="10" t="s">
        <v>91</v>
      </c>
      <c r="F7" s="10" t="s">
        <v>84</v>
      </c>
      <c r="G7" s="10" t="s">
        <v>92</v>
      </c>
      <c r="H7" s="10" t="s">
        <v>93</v>
      </c>
      <c r="I7" s="10" t="s">
        <v>26</v>
      </c>
    </row>
    <row r="8" customFormat="false" ht="15" hidden="false" customHeight="false" outlineLevel="0" collapsed="false">
      <c r="A8" s="16" t="s">
        <v>94</v>
      </c>
      <c r="B8" s="17" t="n">
        <v>45000000</v>
      </c>
      <c r="C8" s="17" t="n">
        <v>14000000</v>
      </c>
      <c r="D8" s="17" t="n">
        <v>9000000</v>
      </c>
      <c r="E8" s="17" t="n">
        <v>2500000</v>
      </c>
      <c r="F8" s="13" t="n">
        <f aca="false">IF($A8="","",C8+D8+E8)</f>
        <v>25500000</v>
      </c>
      <c r="G8" s="13" t="n">
        <f aca="false">IF($A8="","",B8-F8)</f>
        <v>19500000</v>
      </c>
      <c r="H8" s="19" t="n">
        <f aca="false">IF($A8="","",IF(B8=0,0,G8/B8))</f>
        <v>0.433333333333333</v>
      </c>
      <c r="I8" s="12" t="str">
        <f aca="false">IF($A8="","",IF(H8&gt;0.3,"Bagus",IF(H8&gt;=0.15,"Sehat","Tipis")))</f>
        <v>Bagus</v>
      </c>
    </row>
    <row r="9" customFormat="false" ht="15" hidden="false" customHeight="false" outlineLevel="0" collapsed="false">
      <c r="A9" s="16" t="s">
        <v>95</v>
      </c>
      <c r="B9" s="17" t="n">
        <v>60000000</v>
      </c>
      <c r="C9" s="17" t="n">
        <v>22000000</v>
      </c>
      <c r="D9" s="17" t="n">
        <v>13000000</v>
      </c>
      <c r="E9" s="17" t="n">
        <v>4000000</v>
      </c>
      <c r="F9" s="13" t="n">
        <f aca="false">IF($A9="","",C9+D9+E9)</f>
        <v>39000000</v>
      </c>
      <c r="G9" s="13" t="n">
        <f aca="false">IF($A9="","",B9-F9)</f>
        <v>21000000</v>
      </c>
      <c r="H9" s="19" t="n">
        <f aca="false">IF($A9="","",IF(B9=0,0,G9/B9))</f>
        <v>0.35</v>
      </c>
      <c r="I9" s="12" t="str">
        <f aca="false">IF($A9="","",IF(H9&gt;0.3,"Bagus",IF(H9&gt;=0.15,"Sehat","Tipis")))</f>
        <v>Bagus</v>
      </c>
    </row>
    <row r="10" customFormat="false" ht="15" hidden="false" customHeight="false" outlineLevel="0" collapsed="false">
      <c r="A10" s="16"/>
      <c r="B10" s="17"/>
      <c r="C10" s="17"/>
      <c r="D10" s="17"/>
      <c r="E10" s="17"/>
      <c r="F10" s="13" t="str">
        <f aca="false">IF($A10="","",C10+D10+E10)</f>
        <v/>
      </c>
      <c r="G10" s="13" t="str">
        <f aca="false">IF($A10="","",B10-F10)</f>
        <v/>
      </c>
      <c r="H10" s="19" t="str">
        <f aca="false">IF($A10="","",IF(B10=0,0,G10/B10))</f>
        <v/>
      </c>
      <c r="I10" s="12" t="str">
        <f aca="false">IF($A10="","",IF(H10&gt;0.3,"Bagus",IF(H10&gt;=0.15,"Sehat","Tipis")))</f>
        <v/>
      </c>
    </row>
    <row r="11" customFormat="false" ht="15" hidden="false" customHeight="false" outlineLevel="0" collapsed="false">
      <c r="A11" s="16"/>
      <c r="B11" s="17"/>
      <c r="C11" s="17"/>
      <c r="D11" s="17"/>
      <c r="E11" s="17"/>
      <c r="F11" s="13" t="str">
        <f aca="false">IF($A11="","",C11+D11+E11)</f>
        <v/>
      </c>
      <c r="G11" s="13" t="str">
        <f aca="false">IF($A11="","",B11-F11)</f>
        <v/>
      </c>
      <c r="H11" s="19" t="str">
        <f aca="false">IF($A11="","",IF(B11=0,0,G11/B11))</f>
        <v/>
      </c>
      <c r="I11" s="12" t="str">
        <f aca="false">IF($A11="","",IF(H11&gt;0.3,"Bagus",IF(H11&gt;=0.15,"Sehat","Tipis")))</f>
        <v/>
      </c>
    </row>
    <row r="12" customFormat="false" ht="15" hidden="false" customHeight="false" outlineLevel="0" collapsed="false">
      <c r="A12" s="16"/>
      <c r="B12" s="17"/>
      <c r="C12" s="17"/>
      <c r="D12" s="17"/>
      <c r="E12" s="17"/>
      <c r="F12" s="13" t="str">
        <f aca="false">IF($A12="","",C12+D12+E12)</f>
        <v/>
      </c>
      <c r="G12" s="13" t="str">
        <f aca="false">IF($A12="","",B12-F12)</f>
        <v/>
      </c>
      <c r="H12" s="19" t="str">
        <f aca="false">IF($A12="","",IF(B12=0,0,G12/B12))</f>
        <v/>
      </c>
      <c r="I12" s="12" t="str">
        <f aca="false">IF($A12="","",IF(H12&gt;0.3,"Bagus",IF(H12&gt;=0.15,"Sehat","Tipis")))</f>
        <v/>
      </c>
    </row>
    <row r="13" customFormat="false" ht="15" hidden="false" customHeight="false" outlineLevel="0" collapsed="false">
      <c r="A13" s="16"/>
      <c r="B13" s="17"/>
      <c r="C13" s="17"/>
      <c r="D13" s="17"/>
      <c r="E13" s="17"/>
      <c r="F13" s="13" t="str">
        <f aca="false">IF($A13="","",C13+D13+E13)</f>
        <v/>
      </c>
      <c r="G13" s="13" t="str">
        <f aca="false">IF($A13="","",B13-F13)</f>
        <v/>
      </c>
      <c r="H13" s="19" t="str">
        <f aca="false">IF($A13="","",IF(B13=0,0,G13/B13))</f>
        <v/>
      </c>
      <c r="I13" s="12" t="str">
        <f aca="false">IF($A13="","",IF(H13&gt;0.3,"Bagus",IF(H13&gt;=0.15,"Sehat","Tipis")))</f>
        <v/>
      </c>
    </row>
    <row r="14" customFormat="false" ht="15" hidden="false" customHeight="false" outlineLevel="0" collapsed="false">
      <c r="A14" s="16"/>
      <c r="B14" s="17"/>
      <c r="C14" s="17"/>
      <c r="D14" s="17"/>
      <c r="E14" s="17"/>
      <c r="F14" s="13" t="str">
        <f aca="false">IF($A14="","",C14+D14+E14)</f>
        <v/>
      </c>
      <c r="G14" s="13" t="str">
        <f aca="false">IF($A14="","",B14-F14)</f>
        <v/>
      </c>
      <c r="H14" s="19" t="str">
        <f aca="false">IF($A14="","",IF(B14=0,0,G14/B14))</f>
        <v/>
      </c>
      <c r="I14" s="12" t="str">
        <f aca="false">IF($A14="","",IF(H14&gt;0.3,"Bagus",IF(H14&gt;=0.15,"Sehat","Tipis")))</f>
        <v/>
      </c>
    </row>
    <row r="15" customFormat="false" ht="15" hidden="false" customHeight="false" outlineLevel="0" collapsed="false">
      <c r="A15" s="16"/>
      <c r="B15" s="17"/>
      <c r="C15" s="17"/>
      <c r="D15" s="17"/>
      <c r="E15" s="17"/>
      <c r="F15" s="13" t="str">
        <f aca="false">IF($A15="","",C15+D15+E15)</f>
        <v/>
      </c>
      <c r="G15" s="13" t="str">
        <f aca="false">IF($A15="","",B15-F15)</f>
        <v/>
      </c>
      <c r="H15" s="19" t="str">
        <f aca="false">IF($A15="","",IF(B15=0,0,G15/B15))</f>
        <v/>
      </c>
      <c r="I15" s="12" t="str">
        <f aca="false">IF($A15="","",IF(H15&gt;0.3,"Bagus",IF(H15&gt;=0.15,"Sehat","Tipis")))</f>
        <v/>
      </c>
    </row>
    <row r="16" customFormat="false" ht="15" hidden="false" customHeight="false" outlineLevel="0" collapsed="false">
      <c r="A16" s="16"/>
      <c r="B16" s="17"/>
      <c r="C16" s="17"/>
      <c r="D16" s="17"/>
      <c r="E16" s="17"/>
      <c r="F16" s="13" t="str">
        <f aca="false">IF($A16="","",C16+D16+E16)</f>
        <v/>
      </c>
      <c r="G16" s="13" t="str">
        <f aca="false">IF($A16="","",B16-F16)</f>
        <v/>
      </c>
      <c r="H16" s="19" t="str">
        <f aca="false">IF($A16="","",IF(B16=0,0,G16/B16))</f>
        <v/>
      </c>
      <c r="I16" s="12" t="str">
        <f aca="false">IF($A16="","",IF(H16&gt;0.3,"Bagus",IF(H16&gt;=0.15,"Sehat","Tipis")))</f>
        <v/>
      </c>
    </row>
    <row r="17" customFormat="false" ht="15" hidden="false" customHeight="false" outlineLevel="0" collapsed="false">
      <c r="A17" s="16"/>
      <c r="B17" s="17"/>
      <c r="C17" s="17"/>
      <c r="D17" s="17"/>
      <c r="E17" s="17"/>
      <c r="F17" s="13" t="str">
        <f aca="false">IF($A17="","",C17+D17+E17)</f>
        <v/>
      </c>
      <c r="G17" s="13" t="str">
        <f aca="false">IF($A17="","",B17-F17)</f>
        <v/>
      </c>
      <c r="H17" s="19" t="str">
        <f aca="false">IF($A17="","",IF(B17=0,0,G17/B17))</f>
        <v/>
      </c>
      <c r="I17" s="12" t="str">
        <f aca="false">IF($A17="","",IF(H17&gt;0.3,"Bagus",IF(H17&gt;=0.15,"Sehat","Tipis")))</f>
        <v/>
      </c>
    </row>
    <row r="18" customFormat="false" ht="15" hidden="false" customHeight="false" outlineLevel="0" collapsed="false">
      <c r="A18" s="16"/>
      <c r="B18" s="17"/>
      <c r="C18" s="17"/>
      <c r="D18" s="17"/>
      <c r="E18" s="17"/>
      <c r="F18" s="13" t="str">
        <f aca="false">IF($A18="","",C18+D18+E18)</f>
        <v/>
      </c>
      <c r="G18" s="13" t="str">
        <f aca="false">IF($A18="","",B18-F18)</f>
        <v/>
      </c>
      <c r="H18" s="19" t="str">
        <f aca="false">IF($A18="","",IF(B18=0,0,G18/B18))</f>
        <v/>
      </c>
      <c r="I18" s="12" t="str">
        <f aca="false">IF($A18="","",IF(H18&gt;0.3,"Bagus",IF(H18&gt;=0.15,"Sehat","Tipis")))</f>
        <v/>
      </c>
    </row>
    <row r="19" customFormat="false" ht="15" hidden="false" customHeight="false" outlineLevel="0" collapsed="false">
      <c r="A19" s="16"/>
      <c r="B19" s="17"/>
      <c r="C19" s="17"/>
      <c r="D19" s="17"/>
      <c r="E19" s="17"/>
      <c r="F19" s="13" t="str">
        <f aca="false">IF($A19="","",C19+D19+E19)</f>
        <v/>
      </c>
      <c r="G19" s="13" t="str">
        <f aca="false">IF($A19="","",B19-F19)</f>
        <v/>
      </c>
      <c r="H19" s="19" t="str">
        <f aca="false">IF($A19="","",IF(B19=0,0,G19/B19))</f>
        <v/>
      </c>
      <c r="I19" s="12" t="str">
        <f aca="false">IF($A19="","",IF(H19&gt;0.3,"Bagus",IF(H19&gt;=0.15,"Sehat","Tipis")))</f>
        <v/>
      </c>
    </row>
    <row r="20" customFormat="false" ht="15" hidden="false" customHeight="false" outlineLevel="0" collapsed="false">
      <c r="A20" s="16"/>
      <c r="B20" s="17"/>
      <c r="C20" s="17"/>
      <c r="D20" s="17"/>
      <c r="E20" s="17"/>
      <c r="F20" s="13" t="str">
        <f aca="false">IF($A20="","",C20+D20+E20)</f>
        <v/>
      </c>
      <c r="G20" s="13" t="str">
        <f aca="false">IF($A20="","",B20-F20)</f>
        <v/>
      </c>
      <c r="H20" s="19" t="str">
        <f aca="false">IF($A20="","",IF(B20=0,0,G20/B20))</f>
        <v/>
      </c>
      <c r="I20" s="12" t="str">
        <f aca="false">IF($A20="","",IF(H20&gt;0.3,"Bagus",IF(H20&gt;=0.15,"Sehat","Tipis")))</f>
        <v/>
      </c>
    </row>
    <row r="21" customFormat="false" ht="15" hidden="false" customHeight="false" outlineLevel="0" collapsed="false">
      <c r="A21" s="16"/>
      <c r="B21" s="17"/>
      <c r="C21" s="17"/>
      <c r="D21" s="17"/>
      <c r="E21" s="17"/>
      <c r="F21" s="13" t="str">
        <f aca="false">IF($A21="","",C21+D21+E21)</f>
        <v/>
      </c>
      <c r="G21" s="13" t="str">
        <f aca="false">IF($A21="","",B21-F21)</f>
        <v/>
      </c>
      <c r="H21" s="19" t="str">
        <f aca="false">IF($A21="","",IF(B21=0,0,G21/B21))</f>
        <v/>
      </c>
      <c r="I21" s="12" t="str">
        <f aca="false">IF($A21="","",IF(H21&gt;0.3,"Bagus",IF(H21&gt;=0.15,"Sehat","Tipis")))</f>
        <v/>
      </c>
    </row>
    <row r="22" customFormat="false" ht="15" hidden="false" customHeight="false" outlineLevel="0" collapsed="false">
      <c r="A22" s="16"/>
      <c r="B22" s="17"/>
      <c r="C22" s="17"/>
      <c r="D22" s="17"/>
      <c r="E22" s="17"/>
      <c r="F22" s="13" t="str">
        <f aca="false">IF($A22="","",C22+D22+E22)</f>
        <v/>
      </c>
      <c r="G22" s="13" t="str">
        <f aca="false">IF($A22="","",B22-F22)</f>
        <v/>
      </c>
      <c r="H22" s="19" t="str">
        <f aca="false">IF($A22="","",IF(B22=0,0,G22/B22))</f>
        <v/>
      </c>
      <c r="I22" s="12" t="str">
        <f aca="false">IF($A22="","",IF(H22&gt;0.3,"Bagus",IF(H22&gt;=0.15,"Sehat","Tipis")))</f>
        <v/>
      </c>
    </row>
    <row r="23" customFormat="false" ht="15" hidden="false" customHeight="false" outlineLevel="0" collapsed="false">
      <c r="A23" s="16"/>
      <c r="B23" s="17"/>
      <c r="C23" s="17"/>
      <c r="D23" s="17"/>
      <c r="E23" s="17"/>
      <c r="F23" s="13" t="str">
        <f aca="false">IF($A23="","",C23+D23+E23)</f>
        <v/>
      </c>
      <c r="G23" s="13" t="str">
        <f aca="false">IF($A23="","",B23-F23)</f>
        <v/>
      </c>
      <c r="H23" s="19" t="str">
        <f aca="false">IF($A23="","",IF(B23=0,0,G23/B23))</f>
        <v/>
      </c>
      <c r="I23" s="12" t="str">
        <f aca="false">IF($A23="","",IF(H23&gt;0.3,"Bagus",IF(H23&gt;=0.15,"Sehat","Tipis")))</f>
        <v/>
      </c>
    </row>
    <row r="24" customFormat="false" ht="15" hidden="false" customHeight="false" outlineLevel="0" collapsed="false">
      <c r="A24" s="16"/>
      <c r="B24" s="17"/>
      <c r="C24" s="17"/>
      <c r="D24" s="17"/>
      <c r="E24" s="17"/>
      <c r="F24" s="13" t="str">
        <f aca="false">IF($A24="","",C24+D24+E24)</f>
        <v/>
      </c>
      <c r="G24" s="13" t="str">
        <f aca="false">IF($A24="","",B24-F24)</f>
        <v/>
      </c>
      <c r="H24" s="19" t="str">
        <f aca="false">IF($A24="","",IF(B24=0,0,G24/B24))</f>
        <v/>
      </c>
      <c r="I24" s="12" t="str">
        <f aca="false">IF($A24="","",IF(H24&gt;0.3,"Bagus",IF(H24&gt;=0.15,"Sehat","Tipis")))</f>
        <v/>
      </c>
    </row>
    <row r="25" customFormat="false" ht="15" hidden="false" customHeight="false" outlineLevel="0" collapsed="false">
      <c r="A25" s="16"/>
      <c r="B25" s="17"/>
      <c r="C25" s="17"/>
      <c r="D25" s="17"/>
      <c r="E25" s="17"/>
      <c r="F25" s="13" t="str">
        <f aca="false">IF($A25="","",C25+D25+E25)</f>
        <v/>
      </c>
      <c r="G25" s="13" t="str">
        <f aca="false">IF($A25="","",B25-F25)</f>
        <v/>
      </c>
      <c r="H25" s="19" t="str">
        <f aca="false">IF($A25="","",IF(B25=0,0,G25/B25))</f>
        <v/>
      </c>
      <c r="I25" s="12" t="str">
        <f aca="false">IF($A25="","",IF(H25&gt;0.3,"Bagus",IF(H25&gt;=0.15,"Sehat","Tipis")))</f>
        <v/>
      </c>
    </row>
    <row r="26" customFormat="false" ht="15" hidden="false" customHeight="false" outlineLevel="0" collapsed="false">
      <c r="A26" s="16"/>
      <c r="B26" s="17"/>
      <c r="C26" s="17"/>
      <c r="D26" s="17"/>
      <c r="E26" s="17"/>
      <c r="F26" s="13" t="str">
        <f aca="false">IF($A26="","",C26+D26+E26)</f>
        <v/>
      </c>
      <c r="G26" s="13" t="str">
        <f aca="false">IF($A26="","",B26-F26)</f>
        <v/>
      </c>
      <c r="H26" s="19" t="str">
        <f aca="false">IF($A26="","",IF(B26=0,0,G26/B26))</f>
        <v/>
      </c>
      <c r="I26" s="12" t="str">
        <f aca="false">IF($A26="","",IF(H26&gt;0.3,"Bagus",IF(H26&gt;=0.15,"Sehat","Tipis")))</f>
        <v/>
      </c>
    </row>
    <row r="27" customFormat="false" ht="15" hidden="false" customHeight="false" outlineLevel="0" collapsed="false">
      <c r="A27" s="16"/>
      <c r="B27" s="17"/>
      <c r="C27" s="17"/>
      <c r="D27" s="17"/>
      <c r="E27" s="17"/>
      <c r="F27" s="13" t="str">
        <f aca="false">IF($A27="","",C27+D27+E27)</f>
        <v/>
      </c>
      <c r="G27" s="13" t="str">
        <f aca="false">IF($A27="","",B27-F27)</f>
        <v/>
      </c>
      <c r="H27" s="19" t="str">
        <f aca="false">IF($A27="","",IF(B27=0,0,G27/B27))</f>
        <v/>
      </c>
      <c r="I27" s="12" t="str">
        <f aca="false">IF($A27="","",IF(H27&gt;0.3,"Bagus",IF(H27&gt;=0.15,"Sehat","Tipis")))</f>
        <v/>
      </c>
    </row>
    <row r="28" customFormat="false" ht="15" hidden="false" customHeight="false" outlineLevel="0" collapsed="false">
      <c r="A28" s="16"/>
      <c r="B28" s="17"/>
      <c r="C28" s="17"/>
      <c r="D28" s="17"/>
      <c r="E28" s="17"/>
      <c r="F28" s="13" t="str">
        <f aca="false">IF($A28="","",C28+D28+E28)</f>
        <v/>
      </c>
      <c r="G28" s="13" t="str">
        <f aca="false">IF($A28="","",B28-F28)</f>
        <v/>
      </c>
      <c r="H28" s="19" t="str">
        <f aca="false">IF($A28="","",IF(B28=0,0,G28/B28))</f>
        <v/>
      </c>
      <c r="I28" s="12" t="str">
        <f aca="false">IF($A28="","",IF(H28&gt;0.3,"Bagus",IF(H28&gt;=0.15,"Sehat","Tipis")))</f>
        <v/>
      </c>
    </row>
    <row r="29" customFormat="false" ht="15" hidden="false" customHeight="false" outlineLevel="0" collapsed="false">
      <c r="A29" s="16"/>
      <c r="B29" s="17"/>
      <c r="C29" s="17"/>
      <c r="D29" s="17"/>
      <c r="E29" s="17"/>
      <c r="F29" s="13" t="str">
        <f aca="false">IF($A29="","",C29+D29+E29)</f>
        <v/>
      </c>
      <c r="G29" s="13" t="str">
        <f aca="false">IF($A29="","",B29-F29)</f>
        <v/>
      </c>
      <c r="H29" s="19" t="str">
        <f aca="false">IF($A29="","",IF(B29=0,0,G29/B29))</f>
        <v/>
      </c>
      <c r="I29" s="12" t="str">
        <f aca="false">IF($A29="","",IF(H29&gt;0.3,"Bagus",IF(H29&gt;=0.15,"Sehat","Tipis")))</f>
        <v/>
      </c>
    </row>
    <row r="30" customFormat="false" ht="15" hidden="false" customHeight="false" outlineLevel="0" collapsed="false">
      <c r="A30" s="16"/>
      <c r="B30" s="17"/>
      <c r="C30" s="17"/>
      <c r="D30" s="17"/>
      <c r="E30" s="17"/>
      <c r="F30" s="13" t="str">
        <f aca="false">IF($A30="","",C30+D30+E30)</f>
        <v/>
      </c>
      <c r="G30" s="13" t="str">
        <f aca="false">IF($A30="","",B30-F30)</f>
        <v/>
      </c>
      <c r="H30" s="19" t="str">
        <f aca="false">IF($A30="","",IF(B30=0,0,G30/B30))</f>
        <v/>
      </c>
      <c r="I30" s="12" t="str">
        <f aca="false">IF($A30="","",IF(H30&gt;0.3,"Bagus",IF(H30&gt;=0.15,"Sehat","Tipis")))</f>
        <v/>
      </c>
    </row>
    <row r="31" customFormat="false" ht="15" hidden="false" customHeight="false" outlineLevel="0" collapsed="false">
      <c r="A31" s="16"/>
      <c r="B31" s="17"/>
      <c r="C31" s="17"/>
      <c r="D31" s="17"/>
      <c r="E31" s="17"/>
      <c r="F31" s="13" t="str">
        <f aca="false">IF($A31="","",C31+D31+E31)</f>
        <v/>
      </c>
      <c r="G31" s="13" t="str">
        <f aca="false">IF($A31="","",B31-F31)</f>
        <v/>
      </c>
      <c r="H31" s="19" t="str">
        <f aca="false">IF($A31="","",IF(B31=0,0,G31/B31))</f>
        <v/>
      </c>
      <c r="I31" s="12" t="str">
        <f aca="false">IF($A31="","",IF(H31&gt;0.3,"Bagus",IF(H31&gt;=0.15,"Sehat","Tipis")))</f>
        <v/>
      </c>
    </row>
    <row r="32" customFormat="false" ht="15" hidden="false" customHeight="false" outlineLevel="0" collapsed="false">
      <c r="A32" s="16"/>
      <c r="B32" s="17"/>
      <c r="C32" s="17"/>
      <c r="D32" s="17"/>
      <c r="E32" s="17"/>
      <c r="F32" s="13" t="str">
        <f aca="false">IF($A32="","",C32+D32+E32)</f>
        <v/>
      </c>
      <c r="G32" s="13" t="str">
        <f aca="false">IF($A32="","",B32-F32)</f>
        <v/>
      </c>
      <c r="H32" s="19" t="str">
        <f aca="false">IF($A32="","",IF(B32=0,0,G32/B32))</f>
        <v/>
      </c>
      <c r="I32" s="12" t="str">
        <f aca="false">IF($A32="","",IF(H32&gt;0.3,"Bagus",IF(H32&gt;=0.15,"Sehat","Tipis")))</f>
        <v/>
      </c>
    </row>
    <row r="33" customFormat="false" ht="15" hidden="false" customHeight="false" outlineLevel="0" collapsed="false">
      <c r="A33" s="16"/>
      <c r="B33" s="17"/>
      <c r="C33" s="17"/>
      <c r="D33" s="17"/>
      <c r="E33" s="17"/>
      <c r="F33" s="13" t="str">
        <f aca="false">IF($A33="","",C33+D33+E33)</f>
        <v/>
      </c>
      <c r="G33" s="13" t="str">
        <f aca="false">IF($A33="","",B33-F33)</f>
        <v/>
      </c>
      <c r="H33" s="19" t="str">
        <f aca="false">IF($A33="","",IF(B33=0,0,G33/B33))</f>
        <v/>
      </c>
      <c r="I33" s="12" t="str">
        <f aca="false">IF($A33="","",IF(H33&gt;0.3,"Bagus",IF(H33&gt;=0.15,"Sehat","Tipis")))</f>
        <v/>
      </c>
    </row>
    <row r="34" customFormat="false" ht="15" hidden="false" customHeight="false" outlineLevel="0" collapsed="false">
      <c r="A34" s="16"/>
      <c r="B34" s="17"/>
      <c r="C34" s="17"/>
      <c r="D34" s="17"/>
      <c r="E34" s="17"/>
      <c r="F34" s="13" t="str">
        <f aca="false">IF($A34="","",C34+D34+E34)</f>
        <v/>
      </c>
      <c r="G34" s="13" t="str">
        <f aca="false">IF($A34="","",B34-F34)</f>
        <v/>
      </c>
      <c r="H34" s="19" t="str">
        <f aca="false">IF($A34="","",IF(B34=0,0,G34/B34))</f>
        <v/>
      </c>
      <c r="I34" s="12" t="str">
        <f aca="false">IF($A34="","",IF(H34&gt;0.3,"Bagus",IF(H34&gt;=0.15,"Sehat","Tipis")))</f>
        <v/>
      </c>
    </row>
    <row r="35" customFormat="false" ht="15" hidden="false" customHeight="false" outlineLevel="0" collapsed="false">
      <c r="A35" s="16"/>
      <c r="B35" s="17"/>
      <c r="C35" s="17"/>
      <c r="D35" s="17"/>
      <c r="E35" s="17"/>
      <c r="F35" s="13" t="str">
        <f aca="false">IF($A35="","",C35+D35+E35)</f>
        <v/>
      </c>
      <c r="G35" s="13" t="str">
        <f aca="false">IF($A35="","",B35-F35)</f>
        <v/>
      </c>
      <c r="H35" s="19" t="str">
        <f aca="false">IF($A35="","",IF(B35=0,0,G35/B35))</f>
        <v/>
      </c>
      <c r="I35" s="12" t="str">
        <f aca="false">IF($A35="","",IF(H35&gt;0.3,"Bagus",IF(H35&gt;=0.15,"Sehat","Tipis")))</f>
        <v/>
      </c>
    </row>
    <row r="36" customFormat="false" ht="15" hidden="false" customHeight="false" outlineLevel="0" collapsed="false">
      <c r="A36" s="16"/>
      <c r="B36" s="17"/>
      <c r="C36" s="17"/>
      <c r="D36" s="17"/>
      <c r="E36" s="17"/>
      <c r="F36" s="13" t="str">
        <f aca="false">IF($A36="","",C36+D36+E36)</f>
        <v/>
      </c>
      <c r="G36" s="13" t="str">
        <f aca="false">IF($A36="","",B36-F36)</f>
        <v/>
      </c>
      <c r="H36" s="19" t="str">
        <f aca="false">IF($A36="","",IF(B36=0,0,G36/B36))</f>
        <v/>
      </c>
      <c r="I36" s="12" t="str">
        <f aca="false">IF($A36="","",IF(H36&gt;0.3,"Bagus",IF(H36&gt;=0.15,"Sehat","Tipis")))</f>
        <v/>
      </c>
    </row>
    <row r="37" customFormat="false" ht="15" hidden="false" customHeight="false" outlineLevel="0" collapsed="false">
      <c r="A37" s="16"/>
      <c r="B37" s="17"/>
      <c r="C37" s="17"/>
      <c r="D37" s="17"/>
      <c r="E37" s="17"/>
      <c r="F37" s="13" t="str">
        <f aca="false">IF($A37="","",C37+D37+E37)</f>
        <v/>
      </c>
      <c r="G37" s="13" t="str">
        <f aca="false">IF($A37="","",B37-F37)</f>
        <v/>
      </c>
      <c r="H37" s="19" t="str">
        <f aca="false">IF($A37="","",IF(B37=0,0,G37/B37))</f>
        <v/>
      </c>
      <c r="I37" s="12" t="str">
        <f aca="false">IF($A37="","",IF(H37&gt;0.3,"Bagus",IF(H37&gt;=0.15,"Sehat","Tipis")))</f>
        <v/>
      </c>
    </row>
    <row r="38" customFormat="false" ht="15" hidden="false" customHeight="false" outlineLevel="0" collapsed="false">
      <c r="A38" s="16"/>
      <c r="B38" s="17"/>
      <c r="C38" s="17"/>
      <c r="D38" s="17"/>
      <c r="E38" s="17"/>
      <c r="F38" s="13" t="str">
        <f aca="false">IF($A38="","",C38+D38+E38)</f>
        <v/>
      </c>
      <c r="G38" s="13" t="str">
        <f aca="false">IF($A38="","",B38-F38)</f>
        <v/>
      </c>
      <c r="H38" s="19" t="str">
        <f aca="false">IF($A38="","",IF(B38=0,0,G38/B38))</f>
        <v/>
      </c>
      <c r="I38" s="12" t="str">
        <f aca="false">IF($A38="","",IF(H38&gt;0.3,"Bagus",IF(H38&gt;=0.15,"Sehat","Tipis")))</f>
        <v/>
      </c>
    </row>
    <row r="39" customFormat="false" ht="15" hidden="false" customHeight="false" outlineLevel="0" collapsed="false">
      <c r="A39" s="16"/>
      <c r="B39" s="17"/>
      <c r="C39" s="17"/>
      <c r="D39" s="17"/>
      <c r="E39" s="17"/>
      <c r="F39" s="13" t="str">
        <f aca="false">IF($A39="","",C39+D39+E39)</f>
        <v/>
      </c>
      <c r="G39" s="13" t="str">
        <f aca="false">IF($A39="","",B39-F39)</f>
        <v/>
      </c>
      <c r="H39" s="19" t="str">
        <f aca="false">IF($A39="","",IF(B39=0,0,G39/B39))</f>
        <v/>
      </c>
      <c r="I39" s="12" t="str">
        <f aca="false">IF($A39="","",IF(H39&gt;0.3,"Bagus",IF(H39&gt;=0.15,"Sehat","Tipis")))</f>
        <v/>
      </c>
    </row>
    <row r="40" customFormat="false" ht="15" hidden="false" customHeight="false" outlineLevel="0" collapsed="false">
      <c r="A40" s="16"/>
      <c r="B40" s="17"/>
      <c r="C40" s="17"/>
      <c r="D40" s="17"/>
      <c r="E40" s="17"/>
      <c r="F40" s="13" t="str">
        <f aca="false">IF($A40="","",C40+D40+E40)</f>
        <v/>
      </c>
      <c r="G40" s="13" t="str">
        <f aca="false">IF($A40="","",B40-F40)</f>
        <v/>
      </c>
      <c r="H40" s="19" t="str">
        <f aca="false">IF($A40="","",IF(B40=0,0,G40/B40))</f>
        <v/>
      </c>
      <c r="I40" s="12" t="str">
        <f aca="false">IF($A40="","",IF(H40&gt;0.3,"Bagus",IF(H40&gt;=0.15,"Sehat","Tipis")))</f>
        <v/>
      </c>
    </row>
    <row r="41" customFormat="false" ht="15" hidden="false" customHeight="false" outlineLevel="0" collapsed="false">
      <c r="A41" s="16"/>
      <c r="B41" s="17"/>
      <c r="C41" s="17"/>
      <c r="D41" s="17"/>
      <c r="E41" s="17"/>
      <c r="F41" s="13" t="str">
        <f aca="false">IF($A41="","",C41+D41+E41)</f>
        <v/>
      </c>
      <c r="G41" s="13" t="str">
        <f aca="false">IF($A41="","",B41-F41)</f>
        <v/>
      </c>
      <c r="H41" s="19" t="str">
        <f aca="false">IF($A41="","",IF(B41=0,0,G41/B41))</f>
        <v/>
      </c>
      <c r="I41" s="12" t="str">
        <f aca="false">IF($A41="","",IF(H41&gt;0.3,"Bagus",IF(H41&gt;=0.15,"Sehat","Tipis")))</f>
        <v/>
      </c>
    </row>
    <row r="42" customFormat="false" ht="15" hidden="false" customHeight="false" outlineLevel="0" collapsed="false">
      <c r="A42" s="16"/>
      <c r="B42" s="17"/>
      <c r="C42" s="17"/>
      <c r="D42" s="17"/>
      <c r="E42" s="17"/>
      <c r="F42" s="13" t="str">
        <f aca="false">IF($A42="","",C42+D42+E42)</f>
        <v/>
      </c>
      <c r="G42" s="13" t="str">
        <f aca="false">IF($A42="","",B42-F42)</f>
        <v/>
      </c>
      <c r="H42" s="19" t="str">
        <f aca="false">IF($A42="","",IF(B42=0,0,G42/B42))</f>
        <v/>
      </c>
      <c r="I42" s="12" t="str">
        <f aca="false">IF($A42="","",IF(H42&gt;0.3,"Bagus",IF(H42&gt;=0.15,"Sehat","Tipis")))</f>
        <v/>
      </c>
    </row>
    <row r="43" customFormat="false" ht="15" hidden="false" customHeight="false" outlineLevel="0" collapsed="false">
      <c r="A43" s="16"/>
      <c r="B43" s="17"/>
      <c r="C43" s="17"/>
      <c r="D43" s="17"/>
      <c r="E43" s="17"/>
      <c r="F43" s="13" t="str">
        <f aca="false">IF($A43="","",C43+D43+E43)</f>
        <v/>
      </c>
      <c r="G43" s="13" t="str">
        <f aca="false">IF($A43="","",B43-F43)</f>
        <v/>
      </c>
      <c r="H43" s="19" t="str">
        <f aca="false">IF($A43="","",IF(B43=0,0,G43/B43))</f>
        <v/>
      </c>
      <c r="I43" s="12" t="str">
        <f aca="false">IF($A43="","",IF(H43&gt;0.3,"Bagus",IF(H43&gt;=0.15,"Sehat","Tipis")))</f>
        <v/>
      </c>
    </row>
    <row r="44" customFormat="false" ht="15" hidden="false" customHeight="false" outlineLevel="0" collapsed="false">
      <c r="A44" s="16"/>
      <c r="B44" s="17"/>
      <c r="C44" s="17"/>
      <c r="D44" s="17"/>
      <c r="E44" s="17"/>
      <c r="F44" s="13" t="str">
        <f aca="false">IF($A44="","",C44+D44+E44)</f>
        <v/>
      </c>
      <c r="G44" s="13" t="str">
        <f aca="false">IF($A44="","",B44-F44)</f>
        <v/>
      </c>
      <c r="H44" s="19" t="str">
        <f aca="false">IF($A44="","",IF(B44=0,0,G44/B44))</f>
        <v/>
      </c>
      <c r="I44" s="12" t="str">
        <f aca="false">IF($A44="","",IF(H44&gt;0.3,"Bagus",IF(H44&gt;=0.15,"Sehat","Tipis")))</f>
        <v/>
      </c>
    </row>
    <row r="45" customFormat="false" ht="15" hidden="false" customHeight="false" outlineLevel="0" collapsed="false">
      <c r="A45" s="16"/>
      <c r="B45" s="17"/>
      <c r="C45" s="17"/>
      <c r="D45" s="17"/>
      <c r="E45" s="17"/>
      <c r="F45" s="13" t="str">
        <f aca="false">IF($A45="","",C45+D45+E45)</f>
        <v/>
      </c>
      <c r="G45" s="13" t="str">
        <f aca="false">IF($A45="","",B45-F45)</f>
        <v/>
      </c>
      <c r="H45" s="19" t="str">
        <f aca="false">IF($A45="","",IF(B45=0,0,G45/B45))</f>
        <v/>
      </c>
      <c r="I45" s="12" t="str">
        <f aca="false">IF($A45="","",IF(H45&gt;0.3,"Bagus",IF(H45&gt;=0.15,"Sehat","Tipis")))</f>
        <v/>
      </c>
    </row>
    <row r="46" customFormat="false" ht="15" hidden="false" customHeight="false" outlineLevel="0" collapsed="false">
      <c r="A46" s="16"/>
      <c r="B46" s="17"/>
      <c r="C46" s="17"/>
      <c r="D46" s="17"/>
      <c r="E46" s="17"/>
      <c r="F46" s="13" t="str">
        <f aca="false">IF($A46="","",C46+D46+E46)</f>
        <v/>
      </c>
      <c r="G46" s="13" t="str">
        <f aca="false">IF($A46="","",B46-F46)</f>
        <v/>
      </c>
      <c r="H46" s="19" t="str">
        <f aca="false">IF($A46="","",IF(B46=0,0,G46/B46))</f>
        <v/>
      </c>
      <c r="I46" s="12" t="str">
        <f aca="false">IF($A46="","",IF(H46&gt;0.3,"Bagus",IF(H46&gt;=0.15,"Sehat","Tipis")))</f>
        <v/>
      </c>
    </row>
    <row r="47" customFormat="false" ht="15" hidden="false" customHeight="false" outlineLevel="0" collapsed="false">
      <c r="A47" s="16"/>
      <c r="B47" s="17"/>
      <c r="C47" s="17"/>
      <c r="D47" s="17"/>
      <c r="E47" s="17"/>
      <c r="F47" s="13" t="str">
        <f aca="false">IF($A47="","",C47+D47+E47)</f>
        <v/>
      </c>
      <c r="G47" s="13" t="str">
        <f aca="false">IF($A47="","",B47-F47)</f>
        <v/>
      </c>
      <c r="H47" s="19" t="str">
        <f aca="false">IF($A47="","",IF(B47=0,0,G47/B47))</f>
        <v/>
      </c>
      <c r="I47" s="12" t="str">
        <f aca="false">IF($A47="","",IF(H47&gt;0.3,"Bagus",IF(H47&gt;=0.15,"Sehat","Tipis")))</f>
        <v/>
      </c>
    </row>
  </sheetData>
  <conditionalFormatting sqref="I8:I47">
    <cfRule type="cellIs" priority="2" operator="equal" aboveAverage="0" equalAverage="0" bottom="0" percent="0" rank="0" text="" dxfId="8">
      <formula>"Bagus"</formula>
    </cfRule>
    <cfRule type="cellIs" priority="3" operator="equal" aboveAverage="0" equalAverage="0" bottom="0" percent="0" rank="0" text="" dxfId="9">
      <formula>"Sehat"</formula>
    </cfRule>
    <cfRule type="cellIs" priority="4" operator="equal" aboveAverage="0" equalAverage="0" bottom="0" percent="0" rank="0" text="" dxfId="12">
      <formula>"Tipis"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78D6"/>
    <pageSetUpPr fitToPage="false"/>
  </sheetPr>
  <dimension ref="A1:L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15"/>
    <col collapsed="false" customWidth="true" hidden="false" outlineLevel="0" max="9" min="8" style="0" width="14"/>
    <col collapsed="false" customWidth="true" hidden="false" outlineLevel="0" max="10" min="10" style="0" width="10"/>
    <col collapsed="false" customWidth="true" hidden="false" outlineLevel="0" max="12" min="11" style="0" width="14"/>
  </cols>
  <sheetData>
    <row r="1" customFormat="false" ht="19.7" hidden="false" customHeight="false" outlineLevel="0" collapsed="false">
      <c r="A1" s="1" t="s">
        <v>96</v>
      </c>
    </row>
    <row r="2" customFormat="false" ht="15" hidden="false" customHeight="false" outlineLevel="0" collapsed="false">
      <c r="A2" s="2" t="s">
        <v>97</v>
      </c>
    </row>
    <row r="3" customFormat="false" ht="15" hidden="false" customHeight="false" outlineLevel="0" collapsed="false">
      <c r="B3" s="3" t="s">
        <v>98</v>
      </c>
      <c r="C3" s="3" t="s">
        <v>99</v>
      </c>
      <c r="D3" s="3" t="s">
        <v>100</v>
      </c>
    </row>
    <row r="4" customFormat="false" ht="21.75" hidden="false" customHeight="true" outlineLevel="0" collapsed="false">
      <c r="B4" s="20" t="n">
        <f aca="false">COUNTIF(D8:D37,"Aktif")</f>
        <v>0</v>
      </c>
      <c r="C4" s="5" t="n">
        <f aca="false">SUMIFS(E8:E37,D8:D37,"Aktif")</f>
        <v>0</v>
      </c>
      <c r="D4" s="6" t="n">
        <f aca="false">SUM(L8:L37)</f>
        <v>0</v>
      </c>
    </row>
    <row r="7" customFormat="false" ht="27.75" hidden="false" customHeight="true" outlineLevel="0" collapsed="false">
      <c r="A7" s="9" t="s">
        <v>101</v>
      </c>
      <c r="B7" s="10" t="s">
        <v>102</v>
      </c>
      <c r="C7" s="10" t="s">
        <v>103</v>
      </c>
      <c r="D7" s="10" t="s">
        <v>26</v>
      </c>
      <c r="E7" s="10" t="s">
        <v>104</v>
      </c>
      <c r="F7" s="10" t="s">
        <v>105</v>
      </c>
      <c r="G7" s="10" t="s">
        <v>106</v>
      </c>
      <c r="H7" s="10" t="s">
        <v>107</v>
      </c>
      <c r="I7" s="10" t="s">
        <v>108</v>
      </c>
      <c r="J7" s="10" t="s">
        <v>109</v>
      </c>
      <c r="K7" s="10" t="s">
        <v>110</v>
      </c>
      <c r="L7" s="10" t="s">
        <v>111</v>
      </c>
    </row>
    <row r="8" customFormat="false" ht="15" hidden="false" customHeight="false" outlineLevel="0" collapsed="false">
      <c r="A8" s="16"/>
      <c r="B8" s="16"/>
      <c r="C8" s="16"/>
      <c r="D8" s="16"/>
      <c r="E8" s="17"/>
      <c r="F8" s="17"/>
      <c r="G8" s="17"/>
      <c r="H8" s="17"/>
      <c r="I8" s="17"/>
      <c r="J8" s="21"/>
      <c r="K8" s="17"/>
      <c r="L8" s="13" t="str">
        <f aca="false">IF($A8="","",K8-SUMIFS('Penggajian &amp; Slip Gaji'!$U$3:$U$82,'Penggajian &amp; Slip Gaji'!$B$3:$B$82,A8))</f>
        <v/>
      </c>
    </row>
    <row r="9" customFormat="false" ht="15" hidden="false" customHeight="false" outlineLevel="0" collapsed="false">
      <c r="A9" s="16"/>
      <c r="B9" s="16"/>
      <c r="C9" s="16"/>
      <c r="D9" s="16"/>
      <c r="E9" s="17"/>
      <c r="F9" s="17"/>
      <c r="G9" s="17"/>
      <c r="H9" s="17"/>
      <c r="I9" s="17"/>
      <c r="J9" s="21"/>
      <c r="K9" s="17"/>
      <c r="L9" s="13" t="str">
        <f aca="false">IF($A9="","",K9-SUMIFS('Penggajian &amp; Slip Gaji'!$U$3:$U$82,'Penggajian &amp; Slip Gaji'!$B$3:$B$82,A9))</f>
        <v/>
      </c>
    </row>
    <row r="10" customFormat="false" ht="15" hidden="false" customHeight="false" outlineLevel="0" collapsed="false">
      <c r="A10" s="16"/>
      <c r="B10" s="16"/>
      <c r="C10" s="16"/>
      <c r="D10" s="16"/>
      <c r="E10" s="17"/>
      <c r="F10" s="17"/>
      <c r="G10" s="17"/>
      <c r="H10" s="17"/>
      <c r="I10" s="17"/>
      <c r="J10" s="21"/>
      <c r="K10" s="17"/>
      <c r="L10" s="13" t="str">
        <f aca="false">IF($A10="","",K10-SUMIFS('Penggajian &amp; Slip Gaji'!$U$3:$U$82,'Penggajian &amp; Slip Gaji'!$B$3:$B$82,A10))</f>
        <v/>
      </c>
    </row>
    <row r="11" customFormat="false" ht="15" hidden="false" customHeight="false" outlineLevel="0" collapsed="false">
      <c r="A11" s="16"/>
      <c r="B11" s="16"/>
      <c r="C11" s="16"/>
      <c r="D11" s="16"/>
      <c r="E11" s="17"/>
      <c r="F11" s="17"/>
      <c r="G11" s="17"/>
      <c r="H11" s="17"/>
      <c r="I11" s="17"/>
      <c r="J11" s="21"/>
      <c r="K11" s="17"/>
      <c r="L11" s="13" t="str">
        <f aca="false">IF($A11="","",K11-SUMIFS('Penggajian &amp; Slip Gaji'!$U$3:$U$82,'Penggajian &amp; Slip Gaji'!$B$3:$B$82,A11))</f>
        <v/>
      </c>
    </row>
    <row r="12" customFormat="false" ht="15" hidden="false" customHeight="false" outlineLevel="0" collapsed="false">
      <c r="A12" s="16"/>
      <c r="B12" s="16"/>
      <c r="C12" s="16"/>
      <c r="D12" s="16"/>
      <c r="E12" s="17"/>
      <c r="F12" s="17"/>
      <c r="G12" s="17"/>
      <c r="H12" s="17"/>
      <c r="I12" s="17"/>
      <c r="J12" s="21"/>
      <c r="K12" s="17"/>
      <c r="L12" s="13" t="str">
        <f aca="false">IF($A12="","",K12-SUMIFS('Penggajian &amp; Slip Gaji'!$U$3:$U$82,'Penggajian &amp; Slip Gaji'!$B$3:$B$82,A12))</f>
        <v/>
      </c>
    </row>
    <row r="13" customFormat="false" ht="15" hidden="false" customHeight="false" outlineLevel="0" collapsed="false">
      <c r="A13" s="16"/>
      <c r="B13" s="16"/>
      <c r="C13" s="16"/>
      <c r="D13" s="16"/>
      <c r="E13" s="17"/>
      <c r="F13" s="17"/>
      <c r="G13" s="17"/>
      <c r="H13" s="17"/>
      <c r="I13" s="17"/>
      <c r="J13" s="21"/>
      <c r="K13" s="17"/>
      <c r="L13" s="13" t="str">
        <f aca="false">IF($A13="","",K13-SUMIFS('Penggajian &amp; Slip Gaji'!$U$3:$U$82,'Penggajian &amp; Slip Gaji'!$B$3:$B$82,A13))</f>
        <v/>
      </c>
    </row>
    <row r="14" customFormat="false" ht="15" hidden="false" customHeight="false" outlineLevel="0" collapsed="false">
      <c r="A14" s="16"/>
      <c r="B14" s="16"/>
      <c r="C14" s="16"/>
      <c r="D14" s="16"/>
      <c r="E14" s="17"/>
      <c r="F14" s="17"/>
      <c r="G14" s="17"/>
      <c r="H14" s="17"/>
      <c r="I14" s="17"/>
      <c r="J14" s="21"/>
      <c r="K14" s="17"/>
      <c r="L14" s="13" t="str">
        <f aca="false">IF($A14="","",K14-SUMIFS('Penggajian &amp; Slip Gaji'!$U$3:$U$82,'Penggajian &amp; Slip Gaji'!$B$3:$B$82,A14))</f>
        <v/>
      </c>
    </row>
    <row r="15" customFormat="false" ht="15" hidden="false" customHeight="false" outlineLevel="0" collapsed="false">
      <c r="A15" s="16"/>
      <c r="B15" s="16"/>
      <c r="C15" s="16"/>
      <c r="D15" s="16"/>
      <c r="E15" s="17"/>
      <c r="F15" s="17"/>
      <c r="G15" s="17"/>
      <c r="H15" s="17"/>
      <c r="I15" s="17"/>
      <c r="J15" s="21"/>
      <c r="K15" s="17"/>
      <c r="L15" s="13" t="str">
        <f aca="false">IF($A15="","",K15-SUMIFS('Penggajian &amp; Slip Gaji'!$U$3:$U$82,'Penggajian &amp; Slip Gaji'!$B$3:$B$82,A15))</f>
        <v/>
      </c>
    </row>
    <row r="16" customFormat="false" ht="15" hidden="false" customHeight="false" outlineLevel="0" collapsed="false">
      <c r="A16" s="16"/>
      <c r="B16" s="16"/>
      <c r="C16" s="16"/>
      <c r="D16" s="16"/>
      <c r="E16" s="17"/>
      <c r="F16" s="17"/>
      <c r="G16" s="17"/>
      <c r="H16" s="17"/>
      <c r="I16" s="17"/>
      <c r="J16" s="21"/>
      <c r="K16" s="17"/>
      <c r="L16" s="13" t="str">
        <f aca="false">IF($A16="","",K16-SUMIFS('Penggajian &amp; Slip Gaji'!$U$3:$U$82,'Penggajian &amp; Slip Gaji'!$B$3:$B$82,A16))</f>
        <v/>
      </c>
    </row>
    <row r="17" customFormat="false" ht="15" hidden="false" customHeight="false" outlineLevel="0" collapsed="false">
      <c r="A17" s="16"/>
      <c r="B17" s="16"/>
      <c r="C17" s="16"/>
      <c r="D17" s="16"/>
      <c r="E17" s="17"/>
      <c r="F17" s="17"/>
      <c r="G17" s="17"/>
      <c r="H17" s="17"/>
      <c r="I17" s="17"/>
      <c r="J17" s="21"/>
      <c r="K17" s="17"/>
      <c r="L17" s="13" t="str">
        <f aca="false">IF($A17="","",K17-SUMIFS('Penggajian &amp; Slip Gaji'!$U$3:$U$82,'Penggajian &amp; Slip Gaji'!$B$3:$B$82,A17))</f>
        <v/>
      </c>
    </row>
    <row r="18" customFormat="false" ht="15" hidden="false" customHeight="false" outlineLevel="0" collapsed="false">
      <c r="A18" s="16"/>
      <c r="B18" s="16"/>
      <c r="C18" s="16"/>
      <c r="D18" s="16"/>
      <c r="E18" s="17"/>
      <c r="F18" s="17"/>
      <c r="G18" s="17"/>
      <c r="H18" s="17"/>
      <c r="I18" s="17"/>
      <c r="J18" s="21"/>
      <c r="K18" s="17"/>
      <c r="L18" s="13" t="str">
        <f aca="false">IF($A18="","",K18-SUMIFS('Penggajian &amp; Slip Gaji'!$U$3:$U$82,'Penggajian &amp; Slip Gaji'!$B$3:$B$82,A18))</f>
        <v/>
      </c>
    </row>
    <row r="19" customFormat="false" ht="15" hidden="false" customHeight="false" outlineLevel="0" collapsed="false">
      <c r="A19" s="16"/>
      <c r="B19" s="16"/>
      <c r="C19" s="16"/>
      <c r="D19" s="16"/>
      <c r="E19" s="17"/>
      <c r="F19" s="17"/>
      <c r="G19" s="17"/>
      <c r="H19" s="17"/>
      <c r="I19" s="17"/>
      <c r="J19" s="21"/>
      <c r="K19" s="17"/>
      <c r="L19" s="13" t="str">
        <f aca="false">IF($A19="","",K19-SUMIFS('Penggajian &amp; Slip Gaji'!$U$3:$U$82,'Penggajian &amp; Slip Gaji'!$B$3:$B$82,A19))</f>
        <v/>
      </c>
    </row>
    <row r="20" customFormat="false" ht="15" hidden="false" customHeight="false" outlineLevel="0" collapsed="false">
      <c r="A20" s="16"/>
      <c r="B20" s="16"/>
      <c r="C20" s="16"/>
      <c r="D20" s="16"/>
      <c r="E20" s="17"/>
      <c r="F20" s="17"/>
      <c r="G20" s="17"/>
      <c r="H20" s="17"/>
      <c r="I20" s="17"/>
      <c r="J20" s="21"/>
      <c r="K20" s="17"/>
      <c r="L20" s="13" t="str">
        <f aca="false">IF($A20="","",K20-SUMIFS('Penggajian &amp; Slip Gaji'!$U$3:$U$82,'Penggajian &amp; Slip Gaji'!$B$3:$B$82,A20))</f>
        <v/>
      </c>
    </row>
    <row r="21" customFormat="false" ht="15" hidden="false" customHeight="false" outlineLevel="0" collapsed="false">
      <c r="A21" s="16"/>
      <c r="B21" s="16"/>
      <c r="C21" s="16"/>
      <c r="D21" s="16"/>
      <c r="E21" s="17"/>
      <c r="F21" s="17"/>
      <c r="G21" s="17"/>
      <c r="H21" s="17"/>
      <c r="I21" s="17"/>
      <c r="J21" s="21"/>
      <c r="K21" s="17"/>
      <c r="L21" s="13" t="str">
        <f aca="false">IF($A21="","",K21-SUMIFS('Penggajian &amp; Slip Gaji'!$U$3:$U$82,'Penggajian &amp; Slip Gaji'!$B$3:$B$82,A21))</f>
        <v/>
      </c>
    </row>
    <row r="22" customFormat="false" ht="15" hidden="false" customHeight="false" outlineLevel="0" collapsed="false">
      <c r="A22" s="16"/>
      <c r="B22" s="16"/>
      <c r="C22" s="16"/>
      <c r="D22" s="16"/>
      <c r="E22" s="17"/>
      <c r="F22" s="17"/>
      <c r="G22" s="17"/>
      <c r="H22" s="17"/>
      <c r="I22" s="17"/>
      <c r="J22" s="21"/>
      <c r="K22" s="17"/>
      <c r="L22" s="13" t="str">
        <f aca="false">IF($A22="","",K22-SUMIFS('Penggajian &amp; Slip Gaji'!$U$3:$U$82,'Penggajian &amp; Slip Gaji'!$B$3:$B$82,A22))</f>
        <v/>
      </c>
    </row>
    <row r="23" customFormat="false" ht="15" hidden="false" customHeight="false" outlineLevel="0" collapsed="false">
      <c r="A23" s="16"/>
      <c r="B23" s="16"/>
      <c r="C23" s="16"/>
      <c r="D23" s="16"/>
      <c r="E23" s="17"/>
      <c r="F23" s="17"/>
      <c r="G23" s="17"/>
      <c r="H23" s="17"/>
      <c r="I23" s="17"/>
      <c r="J23" s="21"/>
      <c r="K23" s="17"/>
      <c r="L23" s="13" t="str">
        <f aca="false">IF($A23="","",K23-SUMIFS('Penggajian &amp; Slip Gaji'!$U$3:$U$82,'Penggajian &amp; Slip Gaji'!$B$3:$B$82,A23))</f>
        <v/>
      </c>
    </row>
    <row r="24" customFormat="false" ht="15" hidden="false" customHeight="false" outlineLevel="0" collapsed="false">
      <c r="A24" s="16"/>
      <c r="B24" s="16"/>
      <c r="C24" s="16"/>
      <c r="D24" s="16"/>
      <c r="E24" s="17"/>
      <c r="F24" s="17"/>
      <c r="G24" s="17"/>
      <c r="H24" s="17"/>
      <c r="I24" s="17"/>
      <c r="J24" s="21"/>
      <c r="K24" s="17"/>
      <c r="L24" s="13" t="str">
        <f aca="false">IF($A24="","",K24-SUMIFS('Penggajian &amp; Slip Gaji'!$U$3:$U$82,'Penggajian &amp; Slip Gaji'!$B$3:$B$82,A24))</f>
        <v/>
      </c>
    </row>
    <row r="25" customFormat="false" ht="15" hidden="false" customHeight="false" outlineLevel="0" collapsed="false">
      <c r="A25" s="16"/>
      <c r="B25" s="16"/>
      <c r="C25" s="16"/>
      <c r="D25" s="16"/>
      <c r="E25" s="17"/>
      <c r="F25" s="17"/>
      <c r="G25" s="17"/>
      <c r="H25" s="17"/>
      <c r="I25" s="17"/>
      <c r="J25" s="21"/>
      <c r="K25" s="17"/>
      <c r="L25" s="13" t="str">
        <f aca="false">IF($A25="","",K25-SUMIFS('Penggajian &amp; Slip Gaji'!$U$3:$U$82,'Penggajian &amp; Slip Gaji'!$B$3:$B$82,A25))</f>
        <v/>
      </c>
    </row>
    <row r="26" customFormat="false" ht="15" hidden="false" customHeight="false" outlineLevel="0" collapsed="false">
      <c r="A26" s="16"/>
      <c r="B26" s="16"/>
      <c r="C26" s="16"/>
      <c r="D26" s="16"/>
      <c r="E26" s="17"/>
      <c r="F26" s="17"/>
      <c r="G26" s="17"/>
      <c r="H26" s="17"/>
      <c r="I26" s="17"/>
      <c r="J26" s="21"/>
      <c r="K26" s="17"/>
      <c r="L26" s="13" t="str">
        <f aca="false">IF($A26="","",K26-SUMIFS('Penggajian &amp; Slip Gaji'!$U$3:$U$82,'Penggajian &amp; Slip Gaji'!$B$3:$B$82,A26))</f>
        <v/>
      </c>
    </row>
    <row r="27" customFormat="false" ht="15" hidden="false" customHeight="false" outlineLevel="0" collapsed="false">
      <c r="A27" s="16"/>
      <c r="B27" s="16"/>
      <c r="C27" s="16"/>
      <c r="D27" s="16"/>
      <c r="E27" s="17"/>
      <c r="F27" s="17"/>
      <c r="G27" s="17"/>
      <c r="H27" s="17"/>
      <c r="I27" s="17"/>
      <c r="J27" s="21"/>
      <c r="K27" s="17"/>
      <c r="L27" s="13" t="str">
        <f aca="false">IF($A27="","",K27-SUMIFS('Penggajian &amp; Slip Gaji'!$U$3:$U$82,'Penggajian &amp; Slip Gaji'!$B$3:$B$82,A27))</f>
        <v/>
      </c>
    </row>
    <row r="28" customFormat="false" ht="15" hidden="false" customHeight="false" outlineLevel="0" collapsed="false">
      <c r="A28" s="16"/>
      <c r="B28" s="16"/>
      <c r="C28" s="16"/>
      <c r="D28" s="16"/>
      <c r="E28" s="17"/>
      <c r="F28" s="17"/>
      <c r="G28" s="17"/>
      <c r="H28" s="17"/>
      <c r="I28" s="17"/>
      <c r="J28" s="21"/>
      <c r="K28" s="17"/>
      <c r="L28" s="13" t="str">
        <f aca="false">IF($A28="","",K28-SUMIFS('Penggajian &amp; Slip Gaji'!$U$3:$U$82,'Penggajian &amp; Slip Gaji'!$B$3:$B$82,A28))</f>
        <v/>
      </c>
    </row>
    <row r="29" customFormat="false" ht="15" hidden="false" customHeight="false" outlineLevel="0" collapsed="false">
      <c r="A29" s="16"/>
      <c r="B29" s="16"/>
      <c r="C29" s="16"/>
      <c r="D29" s="16"/>
      <c r="E29" s="17"/>
      <c r="F29" s="17"/>
      <c r="G29" s="17"/>
      <c r="H29" s="17"/>
      <c r="I29" s="17"/>
      <c r="J29" s="21"/>
      <c r="K29" s="17"/>
      <c r="L29" s="13" t="str">
        <f aca="false">IF($A29="","",K29-SUMIFS('Penggajian &amp; Slip Gaji'!$U$3:$U$82,'Penggajian &amp; Slip Gaji'!$B$3:$B$82,A29))</f>
        <v/>
      </c>
    </row>
    <row r="30" customFormat="false" ht="15" hidden="false" customHeight="false" outlineLevel="0" collapsed="false">
      <c r="A30" s="16"/>
      <c r="B30" s="16"/>
      <c r="C30" s="16"/>
      <c r="D30" s="16"/>
      <c r="E30" s="17"/>
      <c r="F30" s="17"/>
      <c r="G30" s="17"/>
      <c r="H30" s="17"/>
      <c r="I30" s="17"/>
      <c r="J30" s="21"/>
      <c r="K30" s="17"/>
      <c r="L30" s="13" t="str">
        <f aca="false">IF($A30="","",K30-SUMIFS('Penggajian &amp; Slip Gaji'!$U$3:$U$82,'Penggajian &amp; Slip Gaji'!$B$3:$B$82,A30))</f>
        <v/>
      </c>
    </row>
    <row r="31" customFormat="false" ht="15" hidden="false" customHeight="false" outlineLevel="0" collapsed="false">
      <c r="A31" s="16"/>
      <c r="B31" s="16"/>
      <c r="C31" s="16"/>
      <c r="D31" s="16"/>
      <c r="E31" s="17"/>
      <c r="F31" s="17"/>
      <c r="G31" s="17"/>
      <c r="H31" s="17"/>
      <c r="I31" s="17"/>
      <c r="J31" s="21"/>
      <c r="K31" s="17"/>
      <c r="L31" s="13" t="str">
        <f aca="false">IF($A31="","",K31-SUMIFS('Penggajian &amp; Slip Gaji'!$U$3:$U$82,'Penggajian &amp; Slip Gaji'!$B$3:$B$82,A31))</f>
        <v/>
      </c>
    </row>
    <row r="32" customFormat="false" ht="15" hidden="false" customHeight="false" outlineLevel="0" collapsed="false">
      <c r="A32" s="16"/>
      <c r="B32" s="16"/>
      <c r="C32" s="16"/>
      <c r="D32" s="16"/>
      <c r="E32" s="17"/>
      <c r="F32" s="17"/>
      <c r="G32" s="17"/>
      <c r="H32" s="17"/>
      <c r="I32" s="17"/>
      <c r="J32" s="21"/>
      <c r="K32" s="17"/>
      <c r="L32" s="13" t="str">
        <f aca="false">IF($A32="","",K32-SUMIFS('Penggajian &amp; Slip Gaji'!$U$3:$U$82,'Penggajian &amp; Slip Gaji'!$B$3:$B$82,A32))</f>
        <v/>
      </c>
    </row>
    <row r="33" customFormat="false" ht="15" hidden="false" customHeight="false" outlineLevel="0" collapsed="false">
      <c r="A33" s="16"/>
      <c r="B33" s="16"/>
      <c r="C33" s="16"/>
      <c r="D33" s="16"/>
      <c r="E33" s="17"/>
      <c r="F33" s="17"/>
      <c r="G33" s="17"/>
      <c r="H33" s="17"/>
      <c r="I33" s="17"/>
      <c r="J33" s="21"/>
      <c r="K33" s="17"/>
      <c r="L33" s="13" t="str">
        <f aca="false">IF($A33="","",K33-SUMIFS('Penggajian &amp; Slip Gaji'!$U$3:$U$82,'Penggajian &amp; Slip Gaji'!$B$3:$B$82,A33))</f>
        <v/>
      </c>
    </row>
    <row r="34" customFormat="false" ht="15" hidden="false" customHeight="false" outlineLevel="0" collapsed="false">
      <c r="A34" s="16"/>
      <c r="B34" s="16"/>
      <c r="C34" s="16"/>
      <c r="D34" s="16"/>
      <c r="E34" s="17"/>
      <c r="F34" s="17"/>
      <c r="G34" s="17"/>
      <c r="H34" s="17"/>
      <c r="I34" s="17"/>
      <c r="J34" s="21"/>
      <c r="K34" s="17"/>
      <c r="L34" s="13" t="str">
        <f aca="false">IF($A34="","",K34-SUMIFS('Penggajian &amp; Slip Gaji'!$U$3:$U$82,'Penggajian &amp; Slip Gaji'!$B$3:$B$82,A34))</f>
        <v/>
      </c>
    </row>
    <row r="35" customFormat="false" ht="15" hidden="false" customHeight="false" outlineLevel="0" collapsed="false">
      <c r="A35" s="16"/>
      <c r="B35" s="16"/>
      <c r="C35" s="16"/>
      <c r="D35" s="16"/>
      <c r="E35" s="17"/>
      <c r="F35" s="17"/>
      <c r="G35" s="17"/>
      <c r="H35" s="17"/>
      <c r="I35" s="17"/>
      <c r="J35" s="21"/>
      <c r="K35" s="17"/>
      <c r="L35" s="13" t="str">
        <f aca="false">IF($A35="","",K35-SUMIFS('Penggajian &amp; Slip Gaji'!$U$3:$U$82,'Penggajian &amp; Slip Gaji'!$B$3:$B$82,A35))</f>
        <v/>
      </c>
    </row>
    <row r="36" customFormat="false" ht="15" hidden="false" customHeight="false" outlineLevel="0" collapsed="false">
      <c r="A36" s="16"/>
      <c r="B36" s="16"/>
      <c r="C36" s="16"/>
      <c r="D36" s="16"/>
      <c r="E36" s="17"/>
      <c r="F36" s="17"/>
      <c r="G36" s="17"/>
      <c r="H36" s="17"/>
      <c r="I36" s="17"/>
      <c r="J36" s="21"/>
      <c r="K36" s="17"/>
      <c r="L36" s="13" t="str">
        <f aca="false">IF($A36="","",K36-SUMIFS('Penggajian &amp; Slip Gaji'!$U$3:$U$82,'Penggajian &amp; Slip Gaji'!$B$3:$B$82,A36))</f>
        <v/>
      </c>
    </row>
    <row r="37" customFormat="false" ht="15" hidden="false" customHeight="false" outlineLevel="0" collapsed="false">
      <c r="A37" s="16"/>
      <c r="B37" s="16"/>
      <c r="C37" s="16"/>
      <c r="D37" s="16"/>
      <c r="E37" s="17"/>
      <c r="F37" s="17"/>
      <c r="G37" s="17"/>
      <c r="H37" s="17"/>
      <c r="I37" s="17"/>
      <c r="J37" s="21"/>
      <c r="K37" s="17"/>
      <c r="L37" s="13" t="str">
        <f aca="false">IF($A37="","",K37-SUMIFS('Penggajian &amp; Slip Gaji'!$U$3:$U$82,'Penggajian &amp; Slip Gaji'!$B$3:$B$82,A37))</f>
        <v/>
      </c>
    </row>
  </sheetData>
  <conditionalFormatting sqref="D8:D37">
    <cfRule type="cellIs" priority="2" operator="equal" aboveAverage="0" equalAverage="0" bottom="0" percent="0" rank="0" text="" dxfId="8">
      <formula>"Aktif"</formula>
    </cfRule>
    <cfRule type="cellIs" priority="3" operator="equal" aboveAverage="0" equalAverage="0" bottom="0" percent="0" rank="0" text="" dxfId="13">
      <formula>"Nonaktif"</formula>
    </cfRule>
  </conditionalFormatting>
  <dataValidations count="2">
    <dataValidation allowBlank="true" errorStyle="stop" operator="between" showDropDown="false" showErrorMessage="false" showInputMessage="false" sqref="C8:C37" type="list">
      <formula1>Data!$K$2:$K$3</formula1>
      <formula2>0</formula2>
    </dataValidation>
    <dataValidation allowBlank="true" errorStyle="stop" operator="between" showDropDown="false" showErrorMessage="false" showInputMessage="false" sqref="D8:D37" type="list">
      <formula1>Data!$L$2:$L$3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78D6"/>
    <pageSetUpPr fitToPage="false"/>
  </sheetPr>
  <dimension ref="A1:D1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4"/>
    <col collapsed="false" customWidth="true" hidden="false" outlineLevel="0" max="3" min="3" style="0" width="10"/>
    <col collapsed="false" customWidth="true" hidden="false" outlineLevel="0" max="4" min="4" style="0" width="13"/>
  </cols>
  <sheetData>
    <row r="1" customFormat="false" ht="19.7" hidden="false" customHeight="false" outlineLevel="0" collapsed="false">
      <c r="A1" s="1" t="s">
        <v>112</v>
      </c>
    </row>
    <row r="2" customFormat="false" ht="15" hidden="false" customHeight="false" outlineLevel="0" collapsed="false">
      <c r="A2" s="2" t="s">
        <v>113</v>
      </c>
    </row>
    <row r="3" customFormat="false" ht="27.75" hidden="false" customHeight="true" outlineLevel="0" collapsed="false">
      <c r="A3" s="9" t="s">
        <v>13</v>
      </c>
      <c r="B3" s="10" t="s">
        <v>114</v>
      </c>
      <c r="C3" s="10" t="s">
        <v>115</v>
      </c>
      <c r="D3" s="10" t="s">
        <v>116</v>
      </c>
    </row>
    <row r="4" customFormat="false" ht="15" hidden="false" customHeight="false" outlineLevel="0" collapsed="false">
      <c r="A4" s="15"/>
      <c r="B4" s="16"/>
      <c r="C4" s="16"/>
      <c r="D4" s="16"/>
    </row>
    <row r="5" customFormat="false" ht="15" hidden="false" customHeight="false" outlineLevel="0" collapsed="false">
      <c r="A5" s="15"/>
      <c r="B5" s="16"/>
      <c r="C5" s="16"/>
      <c r="D5" s="16"/>
    </row>
    <row r="6" customFormat="false" ht="15" hidden="false" customHeight="false" outlineLevel="0" collapsed="false">
      <c r="A6" s="15"/>
      <c r="B6" s="16"/>
      <c r="C6" s="16"/>
      <c r="D6" s="16"/>
    </row>
    <row r="7" customFormat="false" ht="15" hidden="false" customHeight="false" outlineLevel="0" collapsed="false">
      <c r="A7" s="15"/>
      <c r="B7" s="16"/>
      <c r="C7" s="16"/>
      <c r="D7" s="16"/>
    </row>
    <row r="8" customFormat="false" ht="15" hidden="false" customHeight="false" outlineLevel="0" collapsed="false">
      <c r="A8" s="15"/>
      <c r="B8" s="16"/>
      <c r="C8" s="16"/>
      <c r="D8" s="16"/>
    </row>
    <row r="9" customFormat="false" ht="15" hidden="false" customHeight="false" outlineLevel="0" collapsed="false">
      <c r="A9" s="15"/>
      <c r="B9" s="16"/>
      <c r="C9" s="16"/>
      <c r="D9" s="16"/>
    </row>
    <row r="10" customFormat="false" ht="15" hidden="false" customHeight="false" outlineLevel="0" collapsed="false">
      <c r="A10" s="15"/>
      <c r="B10" s="16"/>
      <c r="C10" s="16"/>
      <c r="D10" s="16"/>
    </row>
    <row r="11" customFormat="false" ht="15" hidden="false" customHeight="false" outlineLevel="0" collapsed="false">
      <c r="A11" s="15"/>
      <c r="B11" s="16"/>
      <c r="C11" s="16"/>
      <c r="D11" s="16"/>
    </row>
    <row r="12" customFormat="false" ht="15" hidden="false" customHeight="false" outlineLevel="0" collapsed="false">
      <c r="A12" s="15"/>
      <c r="B12" s="16"/>
      <c r="C12" s="16"/>
      <c r="D12" s="16"/>
    </row>
    <row r="13" customFormat="false" ht="15" hidden="false" customHeight="false" outlineLevel="0" collapsed="false">
      <c r="A13" s="15"/>
      <c r="B13" s="16"/>
      <c r="C13" s="16"/>
      <c r="D13" s="16"/>
    </row>
    <row r="14" customFormat="false" ht="15" hidden="false" customHeight="false" outlineLevel="0" collapsed="false">
      <c r="A14" s="15"/>
      <c r="B14" s="16"/>
      <c r="C14" s="16"/>
      <c r="D14" s="16"/>
    </row>
    <row r="15" customFormat="false" ht="15" hidden="false" customHeight="false" outlineLevel="0" collapsed="false">
      <c r="A15" s="15"/>
      <c r="B15" s="16"/>
      <c r="C15" s="16"/>
      <c r="D15" s="16"/>
    </row>
    <row r="16" customFormat="false" ht="15" hidden="false" customHeight="false" outlineLevel="0" collapsed="false">
      <c r="A16" s="15"/>
      <c r="B16" s="16"/>
      <c r="C16" s="16"/>
      <c r="D16" s="16"/>
    </row>
    <row r="17" customFormat="false" ht="15" hidden="false" customHeight="false" outlineLevel="0" collapsed="false">
      <c r="A17" s="15"/>
      <c r="B17" s="16"/>
      <c r="C17" s="16"/>
      <c r="D17" s="16"/>
    </row>
    <row r="18" customFormat="false" ht="15" hidden="false" customHeight="false" outlineLevel="0" collapsed="false">
      <c r="A18" s="15"/>
      <c r="B18" s="16"/>
      <c r="C18" s="16"/>
      <c r="D18" s="16"/>
    </row>
    <row r="19" customFormat="false" ht="15" hidden="false" customHeight="false" outlineLevel="0" collapsed="false">
      <c r="A19" s="15"/>
      <c r="B19" s="16"/>
      <c r="C19" s="16"/>
      <c r="D19" s="16"/>
    </row>
    <row r="20" customFormat="false" ht="15" hidden="false" customHeight="false" outlineLevel="0" collapsed="false">
      <c r="A20" s="15"/>
      <c r="B20" s="16"/>
      <c r="C20" s="16"/>
      <c r="D20" s="16"/>
    </row>
    <row r="21" customFormat="false" ht="15" hidden="false" customHeight="false" outlineLevel="0" collapsed="false">
      <c r="A21" s="15"/>
      <c r="B21" s="16"/>
      <c r="C21" s="16"/>
      <c r="D21" s="16"/>
    </row>
    <row r="22" customFormat="false" ht="15" hidden="false" customHeight="false" outlineLevel="0" collapsed="false">
      <c r="A22" s="15"/>
      <c r="B22" s="16"/>
      <c r="C22" s="16"/>
      <c r="D22" s="16"/>
    </row>
    <row r="23" customFormat="false" ht="15" hidden="false" customHeight="false" outlineLevel="0" collapsed="false">
      <c r="A23" s="15"/>
      <c r="B23" s="16"/>
      <c r="C23" s="16"/>
      <c r="D23" s="16"/>
    </row>
    <row r="24" customFormat="false" ht="15" hidden="false" customHeight="false" outlineLevel="0" collapsed="false">
      <c r="A24" s="15"/>
      <c r="B24" s="16"/>
      <c r="C24" s="16"/>
      <c r="D24" s="16"/>
    </row>
    <row r="25" customFormat="false" ht="15" hidden="false" customHeight="false" outlineLevel="0" collapsed="false">
      <c r="A25" s="15"/>
      <c r="B25" s="16"/>
      <c r="C25" s="16"/>
      <c r="D25" s="16"/>
    </row>
    <row r="26" customFormat="false" ht="15" hidden="false" customHeight="false" outlineLevel="0" collapsed="false">
      <c r="A26" s="15"/>
      <c r="B26" s="16"/>
      <c r="C26" s="16"/>
      <c r="D26" s="16"/>
    </row>
    <row r="27" customFormat="false" ht="15" hidden="false" customHeight="false" outlineLevel="0" collapsed="false">
      <c r="A27" s="15"/>
      <c r="B27" s="16"/>
      <c r="C27" s="16"/>
      <c r="D27" s="16"/>
    </row>
    <row r="28" customFormat="false" ht="15" hidden="false" customHeight="false" outlineLevel="0" collapsed="false">
      <c r="A28" s="15"/>
      <c r="B28" s="16"/>
      <c r="C28" s="16"/>
      <c r="D28" s="16"/>
    </row>
    <row r="29" customFormat="false" ht="15" hidden="false" customHeight="false" outlineLevel="0" collapsed="false">
      <c r="A29" s="15"/>
      <c r="B29" s="16"/>
      <c r="C29" s="16"/>
      <c r="D29" s="16"/>
    </row>
    <row r="30" customFormat="false" ht="15" hidden="false" customHeight="false" outlineLevel="0" collapsed="false">
      <c r="A30" s="15"/>
      <c r="B30" s="16"/>
      <c r="C30" s="16"/>
      <c r="D30" s="16"/>
    </row>
    <row r="31" customFormat="false" ht="15" hidden="false" customHeight="false" outlineLevel="0" collapsed="false">
      <c r="A31" s="15"/>
      <c r="B31" s="16"/>
      <c r="C31" s="16"/>
      <c r="D31" s="16"/>
    </row>
    <row r="32" customFormat="false" ht="15" hidden="false" customHeight="false" outlineLevel="0" collapsed="false">
      <c r="A32" s="15"/>
      <c r="B32" s="16"/>
      <c r="C32" s="16"/>
      <c r="D32" s="16"/>
    </row>
    <row r="33" customFormat="false" ht="15" hidden="false" customHeight="false" outlineLevel="0" collapsed="false">
      <c r="A33" s="15"/>
      <c r="B33" s="16"/>
      <c r="C33" s="16"/>
      <c r="D33" s="16"/>
    </row>
    <row r="34" customFormat="false" ht="15" hidden="false" customHeight="false" outlineLevel="0" collapsed="false">
      <c r="A34" s="15"/>
      <c r="B34" s="16"/>
      <c r="C34" s="16"/>
      <c r="D34" s="16"/>
    </row>
    <row r="35" customFormat="false" ht="15" hidden="false" customHeight="false" outlineLevel="0" collapsed="false">
      <c r="A35" s="15"/>
      <c r="B35" s="16"/>
      <c r="C35" s="16"/>
      <c r="D35" s="16"/>
    </row>
    <row r="36" customFormat="false" ht="15" hidden="false" customHeight="false" outlineLevel="0" collapsed="false">
      <c r="A36" s="15"/>
      <c r="B36" s="16"/>
      <c r="C36" s="16"/>
      <c r="D36" s="16"/>
    </row>
    <row r="37" customFormat="false" ht="15" hidden="false" customHeight="false" outlineLevel="0" collapsed="false">
      <c r="A37" s="15"/>
      <c r="B37" s="16"/>
      <c r="C37" s="16"/>
      <c r="D37" s="16"/>
    </row>
    <row r="38" customFormat="false" ht="15" hidden="false" customHeight="false" outlineLevel="0" collapsed="false">
      <c r="A38" s="15"/>
      <c r="B38" s="16"/>
      <c r="C38" s="16"/>
      <c r="D38" s="16"/>
    </row>
    <row r="39" customFormat="false" ht="15" hidden="false" customHeight="false" outlineLevel="0" collapsed="false">
      <c r="A39" s="15"/>
      <c r="B39" s="16"/>
      <c r="C39" s="16"/>
      <c r="D39" s="16"/>
    </row>
    <row r="40" customFormat="false" ht="15" hidden="false" customHeight="false" outlineLevel="0" collapsed="false">
      <c r="A40" s="15"/>
      <c r="B40" s="16"/>
      <c r="C40" s="16"/>
      <c r="D40" s="16"/>
    </row>
    <row r="41" customFormat="false" ht="15" hidden="false" customHeight="false" outlineLevel="0" collapsed="false">
      <c r="A41" s="15"/>
      <c r="B41" s="16"/>
      <c r="C41" s="16"/>
      <c r="D41" s="16"/>
    </row>
    <row r="42" customFormat="false" ht="15" hidden="false" customHeight="false" outlineLevel="0" collapsed="false">
      <c r="A42" s="15"/>
      <c r="B42" s="16"/>
      <c r="C42" s="16"/>
      <c r="D42" s="16"/>
    </row>
    <row r="43" customFormat="false" ht="15" hidden="false" customHeight="false" outlineLevel="0" collapsed="false">
      <c r="A43" s="15"/>
      <c r="B43" s="16"/>
      <c r="C43" s="16"/>
      <c r="D43" s="16"/>
    </row>
    <row r="44" customFormat="false" ht="15" hidden="false" customHeight="false" outlineLevel="0" collapsed="false">
      <c r="A44" s="15"/>
      <c r="B44" s="16"/>
      <c r="C44" s="16"/>
      <c r="D44" s="16"/>
    </row>
    <row r="45" customFormat="false" ht="15" hidden="false" customHeight="false" outlineLevel="0" collapsed="false">
      <c r="A45" s="15"/>
      <c r="B45" s="16"/>
      <c r="C45" s="16"/>
      <c r="D45" s="16"/>
    </row>
    <row r="46" customFormat="false" ht="15" hidden="false" customHeight="false" outlineLevel="0" collapsed="false">
      <c r="A46" s="15"/>
      <c r="B46" s="16"/>
      <c r="C46" s="16"/>
      <c r="D46" s="16"/>
    </row>
    <row r="47" customFormat="false" ht="15" hidden="false" customHeight="false" outlineLevel="0" collapsed="false">
      <c r="A47" s="15"/>
      <c r="B47" s="16"/>
      <c r="C47" s="16"/>
      <c r="D47" s="16"/>
    </row>
    <row r="48" customFormat="false" ht="15" hidden="false" customHeight="false" outlineLevel="0" collapsed="false">
      <c r="A48" s="15"/>
      <c r="B48" s="16"/>
      <c r="C48" s="16"/>
      <c r="D48" s="16"/>
    </row>
    <row r="49" customFormat="false" ht="15" hidden="false" customHeight="false" outlineLevel="0" collapsed="false">
      <c r="A49" s="15"/>
      <c r="B49" s="16"/>
      <c r="C49" s="16"/>
      <c r="D49" s="16"/>
    </row>
    <row r="50" customFormat="false" ht="15" hidden="false" customHeight="false" outlineLevel="0" collapsed="false">
      <c r="A50" s="15"/>
      <c r="B50" s="16"/>
      <c r="C50" s="16"/>
      <c r="D50" s="16"/>
    </row>
    <row r="51" customFormat="false" ht="15" hidden="false" customHeight="false" outlineLevel="0" collapsed="false">
      <c r="A51" s="15"/>
      <c r="B51" s="16"/>
      <c r="C51" s="16"/>
      <c r="D51" s="16"/>
    </row>
    <row r="52" customFormat="false" ht="15" hidden="false" customHeight="false" outlineLevel="0" collapsed="false">
      <c r="A52" s="15"/>
      <c r="B52" s="16"/>
      <c r="C52" s="16"/>
      <c r="D52" s="16"/>
    </row>
    <row r="53" customFormat="false" ht="15" hidden="false" customHeight="false" outlineLevel="0" collapsed="false">
      <c r="A53" s="15"/>
      <c r="B53" s="16"/>
      <c r="C53" s="16"/>
      <c r="D53" s="16"/>
    </row>
    <row r="54" customFormat="false" ht="15" hidden="false" customHeight="false" outlineLevel="0" collapsed="false">
      <c r="A54" s="15"/>
      <c r="B54" s="16"/>
      <c r="C54" s="16"/>
      <c r="D54" s="16"/>
    </row>
    <row r="55" customFormat="false" ht="15" hidden="false" customHeight="false" outlineLevel="0" collapsed="false">
      <c r="A55" s="15"/>
      <c r="B55" s="16"/>
      <c r="C55" s="16"/>
      <c r="D55" s="16"/>
    </row>
    <row r="56" customFormat="false" ht="15" hidden="false" customHeight="false" outlineLevel="0" collapsed="false">
      <c r="A56" s="15"/>
      <c r="B56" s="16"/>
      <c r="C56" s="16"/>
      <c r="D56" s="16"/>
    </row>
    <row r="57" customFormat="false" ht="15" hidden="false" customHeight="false" outlineLevel="0" collapsed="false">
      <c r="A57" s="15"/>
      <c r="B57" s="16"/>
      <c r="C57" s="16"/>
      <c r="D57" s="16"/>
    </row>
    <row r="58" customFormat="false" ht="15" hidden="false" customHeight="false" outlineLevel="0" collapsed="false">
      <c r="A58" s="15"/>
      <c r="B58" s="16"/>
      <c r="C58" s="16"/>
      <c r="D58" s="16"/>
    </row>
    <row r="59" customFormat="false" ht="15" hidden="false" customHeight="false" outlineLevel="0" collapsed="false">
      <c r="A59" s="15"/>
      <c r="B59" s="16"/>
      <c r="C59" s="16"/>
      <c r="D59" s="16"/>
    </row>
    <row r="60" customFormat="false" ht="15" hidden="false" customHeight="false" outlineLevel="0" collapsed="false">
      <c r="A60" s="15"/>
      <c r="B60" s="16"/>
      <c r="C60" s="16"/>
      <c r="D60" s="16"/>
    </row>
    <row r="61" customFormat="false" ht="15" hidden="false" customHeight="false" outlineLevel="0" collapsed="false">
      <c r="A61" s="15"/>
      <c r="B61" s="16"/>
      <c r="C61" s="16"/>
      <c r="D61" s="16"/>
    </row>
    <row r="62" customFormat="false" ht="15" hidden="false" customHeight="false" outlineLevel="0" collapsed="false">
      <c r="A62" s="15"/>
      <c r="B62" s="16"/>
      <c r="C62" s="16"/>
      <c r="D62" s="16"/>
    </row>
    <row r="63" customFormat="false" ht="15" hidden="false" customHeight="false" outlineLevel="0" collapsed="false">
      <c r="A63" s="15"/>
      <c r="B63" s="16"/>
      <c r="C63" s="16"/>
      <c r="D63" s="16"/>
    </row>
    <row r="64" customFormat="false" ht="15" hidden="false" customHeight="false" outlineLevel="0" collapsed="false">
      <c r="A64" s="15"/>
      <c r="B64" s="16"/>
      <c r="C64" s="16"/>
      <c r="D64" s="16"/>
    </row>
    <row r="65" customFormat="false" ht="15" hidden="false" customHeight="false" outlineLevel="0" collapsed="false">
      <c r="A65" s="15"/>
      <c r="B65" s="16"/>
      <c r="C65" s="16"/>
      <c r="D65" s="16"/>
    </row>
    <row r="66" customFormat="false" ht="15" hidden="false" customHeight="false" outlineLevel="0" collapsed="false">
      <c r="A66" s="15"/>
      <c r="B66" s="16"/>
      <c r="C66" s="16"/>
      <c r="D66" s="16"/>
    </row>
    <row r="67" customFormat="false" ht="15" hidden="false" customHeight="false" outlineLevel="0" collapsed="false">
      <c r="A67" s="15"/>
      <c r="B67" s="16"/>
      <c r="C67" s="16"/>
      <c r="D67" s="16"/>
    </row>
    <row r="68" customFormat="false" ht="15" hidden="false" customHeight="false" outlineLevel="0" collapsed="false">
      <c r="A68" s="15"/>
      <c r="B68" s="16"/>
      <c r="C68" s="16"/>
      <c r="D68" s="16"/>
    </row>
    <row r="69" customFormat="false" ht="15" hidden="false" customHeight="false" outlineLevel="0" collapsed="false">
      <c r="A69" s="15"/>
      <c r="B69" s="16"/>
      <c r="C69" s="16"/>
      <c r="D69" s="16"/>
    </row>
    <row r="70" customFormat="false" ht="15" hidden="false" customHeight="false" outlineLevel="0" collapsed="false">
      <c r="A70" s="15"/>
      <c r="B70" s="16"/>
      <c r="C70" s="16"/>
      <c r="D70" s="16"/>
    </row>
    <row r="71" customFormat="false" ht="15" hidden="false" customHeight="false" outlineLevel="0" collapsed="false">
      <c r="A71" s="15"/>
      <c r="B71" s="16"/>
      <c r="C71" s="16"/>
      <c r="D71" s="16"/>
    </row>
    <row r="72" customFormat="false" ht="15" hidden="false" customHeight="false" outlineLevel="0" collapsed="false">
      <c r="A72" s="15"/>
      <c r="B72" s="16"/>
      <c r="C72" s="16"/>
      <c r="D72" s="16"/>
    </row>
    <row r="73" customFormat="false" ht="15" hidden="false" customHeight="false" outlineLevel="0" collapsed="false">
      <c r="A73" s="15"/>
      <c r="B73" s="16"/>
      <c r="C73" s="16"/>
      <c r="D73" s="16"/>
    </row>
    <row r="74" customFormat="false" ht="15" hidden="false" customHeight="false" outlineLevel="0" collapsed="false">
      <c r="A74" s="15"/>
      <c r="B74" s="16"/>
      <c r="C74" s="16"/>
      <c r="D74" s="16"/>
    </row>
    <row r="75" customFormat="false" ht="15" hidden="false" customHeight="false" outlineLevel="0" collapsed="false">
      <c r="A75" s="15"/>
      <c r="B75" s="16"/>
      <c r="C75" s="16"/>
      <c r="D75" s="16"/>
    </row>
    <row r="76" customFormat="false" ht="15" hidden="false" customHeight="false" outlineLevel="0" collapsed="false">
      <c r="A76" s="15"/>
      <c r="B76" s="16"/>
      <c r="C76" s="16"/>
      <c r="D76" s="16"/>
    </row>
    <row r="77" customFormat="false" ht="15" hidden="false" customHeight="false" outlineLevel="0" collapsed="false">
      <c r="A77" s="15"/>
      <c r="B77" s="16"/>
      <c r="C77" s="16"/>
      <c r="D77" s="16"/>
    </row>
    <row r="78" customFormat="false" ht="15" hidden="false" customHeight="false" outlineLevel="0" collapsed="false">
      <c r="A78" s="15"/>
      <c r="B78" s="16"/>
      <c r="C78" s="16"/>
      <c r="D78" s="16"/>
    </row>
    <row r="79" customFormat="false" ht="15" hidden="false" customHeight="false" outlineLevel="0" collapsed="false">
      <c r="A79" s="15"/>
      <c r="B79" s="16"/>
      <c r="C79" s="16"/>
      <c r="D79" s="16"/>
    </row>
    <row r="80" customFormat="false" ht="15" hidden="false" customHeight="false" outlineLevel="0" collapsed="false">
      <c r="A80" s="15"/>
      <c r="B80" s="16"/>
      <c r="C80" s="16"/>
      <c r="D80" s="16"/>
    </row>
    <row r="81" customFormat="false" ht="15" hidden="false" customHeight="false" outlineLevel="0" collapsed="false">
      <c r="A81" s="15"/>
      <c r="B81" s="16"/>
      <c r="C81" s="16"/>
      <c r="D81" s="16"/>
    </row>
    <row r="82" customFormat="false" ht="15" hidden="false" customHeight="false" outlineLevel="0" collapsed="false">
      <c r="A82" s="15"/>
      <c r="B82" s="16"/>
      <c r="C82" s="16"/>
      <c r="D82" s="16"/>
    </row>
    <row r="83" customFormat="false" ht="15" hidden="false" customHeight="false" outlineLevel="0" collapsed="false">
      <c r="A83" s="15"/>
      <c r="B83" s="16"/>
      <c r="C83" s="16"/>
      <c r="D83" s="16"/>
    </row>
    <row r="84" customFormat="false" ht="15" hidden="false" customHeight="false" outlineLevel="0" collapsed="false">
      <c r="A84" s="15"/>
      <c r="B84" s="16"/>
      <c r="C84" s="16"/>
      <c r="D84" s="16"/>
    </row>
    <row r="85" customFormat="false" ht="15" hidden="false" customHeight="false" outlineLevel="0" collapsed="false">
      <c r="A85" s="15"/>
      <c r="B85" s="16"/>
      <c r="C85" s="16"/>
      <c r="D85" s="16"/>
    </row>
    <row r="86" customFormat="false" ht="15" hidden="false" customHeight="false" outlineLevel="0" collapsed="false">
      <c r="A86" s="15"/>
      <c r="B86" s="16"/>
      <c r="C86" s="16"/>
      <c r="D86" s="16"/>
    </row>
    <row r="87" customFormat="false" ht="15" hidden="false" customHeight="false" outlineLevel="0" collapsed="false">
      <c r="A87" s="15"/>
      <c r="B87" s="16"/>
      <c r="C87" s="16"/>
      <c r="D87" s="16"/>
    </row>
    <row r="88" customFormat="false" ht="15" hidden="false" customHeight="false" outlineLevel="0" collapsed="false">
      <c r="A88" s="15"/>
      <c r="B88" s="16"/>
      <c r="C88" s="16"/>
      <c r="D88" s="16"/>
    </row>
    <row r="89" customFormat="false" ht="15" hidden="false" customHeight="false" outlineLevel="0" collapsed="false">
      <c r="A89" s="15"/>
      <c r="B89" s="16"/>
      <c r="C89" s="16"/>
      <c r="D89" s="16"/>
    </row>
    <row r="90" customFormat="false" ht="15" hidden="false" customHeight="false" outlineLevel="0" collapsed="false">
      <c r="A90" s="15"/>
      <c r="B90" s="16"/>
      <c r="C90" s="16"/>
      <c r="D90" s="16"/>
    </row>
    <row r="91" customFormat="false" ht="15" hidden="false" customHeight="false" outlineLevel="0" collapsed="false">
      <c r="A91" s="15"/>
      <c r="B91" s="16"/>
      <c r="C91" s="16"/>
      <c r="D91" s="16"/>
    </row>
    <row r="92" customFormat="false" ht="15" hidden="false" customHeight="false" outlineLevel="0" collapsed="false">
      <c r="A92" s="15"/>
      <c r="B92" s="16"/>
      <c r="C92" s="16"/>
      <c r="D92" s="16"/>
    </row>
    <row r="93" customFormat="false" ht="15" hidden="false" customHeight="false" outlineLevel="0" collapsed="false">
      <c r="A93" s="15"/>
      <c r="B93" s="16"/>
      <c r="C93" s="16"/>
      <c r="D93" s="16"/>
    </row>
    <row r="94" customFormat="false" ht="15" hidden="false" customHeight="false" outlineLevel="0" collapsed="false">
      <c r="A94" s="15"/>
      <c r="B94" s="16"/>
      <c r="C94" s="16"/>
      <c r="D94" s="16"/>
    </row>
    <row r="95" customFormat="false" ht="15" hidden="false" customHeight="false" outlineLevel="0" collapsed="false">
      <c r="A95" s="15"/>
      <c r="B95" s="16"/>
      <c r="C95" s="16"/>
      <c r="D95" s="16"/>
    </row>
    <row r="96" customFormat="false" ht="15" hidden="false" customHeight="false" outlineLevel="0" collapsed="false">
      <c r="A96" s="15"/>
      <c r="B96" s="16"/>
      <c r="C96" s="16"/>
      <c r="D96" s="16"/>
    </row>
    <row r="97" customFormat="false" ht="15" hidden="false" customHeight="false" outlineLevel="0" collapsed="false">
      <c r="A97" s="15"/>
      <c r="B97" s="16"/>
      <c r="C97" s="16"/>
      <c r="D97" s="16"/>
    </row>
    <row r="98" customFormat="false" ht="15" hidden="false" customHeight="false" outlineLevel="0" collapsed="false">
      <c r="A98" s="15"/>
      <c r="B98" s="16"/>
      <c r="C98" s="16"/>
      <c r="D98" s="16"/>
    </row>
    <row r="99" customFormat="false" ht="15" hidden="false" customHeight="false" outlineLevel="0" collapsed="false">
      <c r="A99" s="15"/>
      <c r="B99" s="16"/>
      <c r="C99" s="16"/>
      <c r="D99" s="16"/>
    </row>
    <row r="100" customFormat="false" ht="15" hidden="false" customHeight="false" outlineLevel="0" collapsed="false">
      <c r="A100" s="15"/>
      <c r="B100" s="16"/>
      <c r="C100" s="16"/>
      <c r="D100" s="16"/>
    </row>
    <row r="101" customFormat="false" ht="15" hidden="false" customHeight="false" outlineLevel="0" collapsed="false">
      <c r="A101" s="15"/>
      <c r="B101" s="16"/>
      <c r="C101" s="16"/>
      <c r="D101" s="16"/>
    </row>
    <row r="102" customFormat="false" ht="15" hidden="false" customHeight="false" outlineLevel="0" collapsed="false">
      <c r="A102" s="15"/>
      <c r="B102" s="16"/>
      <c r="C102" s="16"/>
      <c r="D102" s="16"/>
    </row>
    <row r="103" customFormat="false" ht="15" hidden="false" customHeight="false" outlineLevel="0" collapsed="false">
      <c r="A103" s="15"/>
      <c r="B103" s="16"/>
      <c r="C103" s="16"/>
      <c r="D103" s="16"/>
    </row>
    <row r="104" customFormat="false" ht="15" hidden="false" customHeight="false" outlineLevel="0" collapsed="false">
      <c r="A104" s="15"/>
      <c r="B104" s="16"/>
      <c r="C104" s="16"/>
      <c r="D104" s="16"/>
    </row>
    <row r="105" customFormat="false" ht="15" hidden="false" customHeight="false" outlineLevel="0" collapsed="false">
      <c r="A105" s="15"/>
      <c r="B105" s="16"/>
      <c r="C105" s="16"/>
      <c r="D105" s="16"/>
    </row>
    <row r="106" customFormat="false" ht="15" hidden="false" customHeight="false" outlineLevel="0" collapsed="false">
      <c r="A106" s="15"/>
      <c r="B106" s="16"/>
      <c r="C106" s="16"/>
      <c r="D106" s="16"/>
    </row>
    <row r="107" customFormat="false" ht="15" hidden="false" customHeight="false" outlineLevel="0" collapsed="false">
      <c r="A107" s="15"/>
      <c r="B107" s="16"/>
      <c r="C107" s="16"/>
      <c r="D107" s="16"/>
    </row>
    <row r="108" customFormat="false" ht="15" hidden="false" customHeight="false" outlineLevel="0" collapsed="false">
      <c r="A108" s="15"/>
      <c r="B108" s="16"/>
      <c r="C108" s="16"/>
      <c r="D108" s="16"/>
    </row>
    <row r="109" customFormat="false" ht="15" hidden="false" customHeight="false" outlineLevel="0" collapsed="false">
      <c r="A109" s="15"/>
      <c r="B109" s="16"/>
      <c r="C109" s="16"/>
      <c r="D109" s="16"/>
    </row>
    <row r="110" customFormat="false" ht="15" hidden="false" customHeight="false" outlineLevel="0" collapsed="false">
      <c r="A110" s="15"/>
      <c r="B110" s="16"/>
      <c r="C110" s="16"/>
      <c r="D110" s="16"/>
    </row>
    <row r="111" customFormat="false" ht="15" hidden="false" customHeight="false" outlineLevel="0" collapsed="false">
      <c r="A111" s="15"/>
      <c r="B111" s="16"/>
      <c r="C111" s="16"/>
      <c r="D111" s="16"/>
    </row>
    <row r="112" customFormat="false" ht="15" hidden="false" customHeight="false" outlineLevel="0" collapsed="false">
      <c r="A112" s="15"/>
      <c r="B112" s="16"/>
      <c r="C112" s="16"/>
      <c r="D112" s="16"/>
    </row>
    <row r="113" customFormat="false" ht="15" hidden="false" customHeight="false" outlineLevel="0" collapsed="false">
      <c r="A113" s="15"/>
      <c r="B113" s="16"/>
      <c r="C113" s="16"/>
      <c r="D113" s="16"/>
    </row>
    <row r="114" customFormat="false" ht="15" hidden="false" customHeight="false" outlineLevel="0" collapsed="false">
      <c r="A114" s="15"/>
      <c r="B114" s="16"/>
      <c r="C114" s="16"/>
      <c r="D114" s="16"/>
    </row>
    <row r="115" customFormat="false" ht="15" hidden="false" customHeight="false" outlineLevel="0" collapsed="false">
      <c r="A115" s="15"/>
      <c r="B115" s="16"/>
      <c r="C115" s="16"/>
      <c r="D115" s="16"/>
    </row>
    <row r="116" customFormat="false" ht="15" hidden="false" customHeight="false" outlineLevel="0" collapsed="false">
      <c r="A116" s="15"/>
      <c r="B116" s="16"/>
      <c r="C116" s="16"/>
      <c r="D116" s="16"/>
    </row>
    <row r="117" customFormat="false" ht="15" hidden="false" customHeight="false" outlineLevel="0" collapsed="false">
      <c r="A117" s="15"/>
      <c r="B117" s="16"/>
      <c r="C117" s="16"/>
      <c r="D117" s="16"/>
    </row>
    <row r="118" customFormat="false" ht="15" hidden="false" customHeight="false" outlineLevel="0" collapsed="false">
      <c r="A118" s="15"/>
      <c r="B118" s="16"/>
      <c r="C118" s="16"/>
      <c r="D118" s="16"/>
    </row>
    <row r="119" customFormat="false" ht="15" hidden="false" customHeight="false" outlineLevel="0" collapsed="false">
      <c r="A119" s="15"/>
      <c r="B119" s="16"/>
      <c r="C119" s="16"/>
      <c r="D119" s="16"/>
    </row>
    <row r="120" customFormat="false" ht="15" hidden="false" customHeight="false" outlineLevel="0" collapsed="false">
      <c r="A120" s="15"/>
      <c r="B120" s="16"/>
      <c r="C120" s="16"/>
      <c r="D120" s="16"/>
    </row>
    <row r="121" customFormat="false" ht="15" hidden="false" customHeight="false" outlineLevel="0" collapsed="false">
      <c r="A121" s="15"/>
      <c r="B121" s="16"/>
      <c r="C121" s="16"/>
      <c r="D121" s="16"/>
    </row>
    <row r="122" customFormat="false" ht="15" hidden="false" customHeight="false" outlineLevel="0" collapsed="false">
      <c r="A122" s="15"/>
      <c r="B122" s="16"/>
      <c r="C122" s="16"/>
      <c r="D122" s="16"/>
    </row>
    <row r="123" customFormat="false" ht="15" hidden="false" customHeight="false" outlineLevel="0" collapsed="false">
      <c r="A123" s="15"/>
      <c r="B123" s="16"/>
      <c r="C123" s="16"/>
      <c r="D123" s="16"/>
    </row>
    <row r="124" customFormat="false" ht="15" hidden="false" customHeight="false" outlineLevel="0" collapsed="false">
      <c r="A124" s="15"/>
      <c r="B124" s="16"/>
      <c r="C124" s="16"/>
      <c r="D124" s="16"/>
    </row>
    <row r="125" customFormat="false" ht="15" hidden="false" customHeight="false" outlineLevel="0" collapsed="false">
      <c r="A125" s="15"/>
      <c r="B125" s="16"/>
      <c r="C125" s="16"/>
      <c r="D125" s="16"/>
    </row>
    <row r="126" customFormat="false" ht="15" hidden="false" customHeight="false" outlineLevel="0" collapsed="false">
      <c r="A126" s="15"/>
      <c r="B126" s="16"/>
      <c r="C126" s="16"/>
      <c r="D126" s="16"/>
    </row>
    <row r="127" customFormat="false" ht="15" hidden="false" customHeight="false" outlineLevel="0" collapsed="false">
      <c r="A127" s="15"/>
      <c r="B127" s="16"/>
      <c r="C127" s="16"/>
      <c r="D127" s="16"/>
    </row>
    <row r="128" customFormat="false" ht="15" hidden="false" customHeight="false" outlineLevel="0" collapsed="false">
      <c r="A128" s="15"/>
      <c r="B128" s="16"/>
      <c r="C128" s="16"/>
      <c r="D128" s="16"/>
    </row>
    <row r="129" customFormat="false" ht="15" hidden="false" customHeight="false" outlineLevel="0" collapsed="false">
      <c r="A129" s="15"/>
      <c r="B129" s="16"/>
      <c r="C129" s="16"/>
      <c r="D129" s="16"/>
    </row>
    <row r="130" customFormat="false" ht="15" hidden="false" customHeight="false" outlineLevel="0" collapsed="false">
      <c r="A130" s="15"/>
      <c r="B130" s="16"/>
      <c r="C130" s="16"/>
      <c r="D130" s="16"/>
    </row>
    <row r="131" customFormat="false" ht="15" hidden="false" customHeight="false" outlineLevel="0" collapsed="false">
      <c r="A131" s="15"/>
      <c r="B131" s="16"/>
      <c r="C131" s="16"/>
      <c r="D131" s="16"/>
    </row>
    <row r="132" customFormat="false" ht="15" hidden="false" customHeight="false" outlineLevel="0" collapsed="false">
      <c r="A132" s="15"/>
      <c r="B132" s="16"/>
      <c r="C132" s="16"/>
      <c r="D132" s="16"/>
    </row>
    <row r="133" customFormat="false" ht="15" hidden="false" customHeight="false" outlineLevel="0" collapsed="false">
      <c r="A133" s="15"/>
      <c r="B133" s="16"/>
      <c r="C133" s="16"/>
      <c r="D133" s="16"/>
    </row>
    <row r="134" customFormat="false" ht="15" hidden="false" customHeight="false" outlineLevel="0" collapsed="false">
      <c r="A134" s="15"/>
      <c r="B134" s="16"/>
      <c r="C134" s="16"/>
      <c r="D134" s="16"/>
    </row>
    <row r="135" customFormat="false" ht="15" hidden="false" customHeight="false" outlineLevel="0" collapsed="false">
      <c r="A135" s="15"/>
      <c r="B135" s="16"/>
      <c r="C135" s="16"/>
      <c r="D135" s="16"/>
    </row>
    <row r="136" customFormat="false" ht="15" hidden="false" customHeight="false" outlineLevel="0" collapsed="false">
      <c r="A136" s="15"/>
      <c r="B136" s="16"/>
      <c r="C136" s="16"/>
      <c r="D136" s="16"/>
    </row>
    <row r="137" customFormat="false" ht="15" hidden="false" customHeight="false" outlineLevel="0" collapsed="false">
      <c r="A137" s="15"/>
      <c r="B137" s="16"/>
      <c r="C137" s="16"/>
      <c r="D137" s="16"/>
    </row>
    <row r="138" customFormat="false" ht="15" hidden="false" customHeight="false" outlineLevel="0" collapsed="false">
      <c r="A138" s="15"/>
      <c r="B138" s="16"/>
      <c r="C138" s="16"/>
      <c r="D138" s="16"/>
    </row>
    <row r="139" customFormat="false" ht="15" hidden="false" customHeight="false" outlineLevel="0" collapsed="false">
      <c r="A139" s="15"/>
      <c r="B139" s="16"/>
      <c r="C139" s="16"/>
      <c r="D139" s="16"/>
    </row>
    <row r="140" customFormat="false" ht="15" hidden="false" customHeight="false" outlineLevel="0" collapsed="false">
      <c r="A140" s="15"/>
      <c r="B140" s="16"/>
      <c r="C140" s="16"/>
      <c r="D140" s="16"/>
    </row>
    <row r="141" customFormat="false" ht="15" hidden="false" customHeight="false" outlineLevel="0" collapsed="false">
      <c r="A141" s="15"/>
      <c r="B141" s="16"/>
      <c r="C141" s="16"/>
      <c r="D141" s="16"/>
    </row>
    <row r="142" customFormat="false" ht="15" hidden="false" customHeight="false" outlineLevel="0" collapsed="false">
      <c r="A142" s="15"/>
      <c r="B142" s="16"/>
      <c r="C142" s="16"/>
      <c r="D142" s="16"/>
    </row>
    <row r="143" customFormat="false" ht="15" hidden="false" customHeight="false" outlineLevel="0" collapsed="false">
      <c r="A143" s="15"/>
      <c r="B143" s="16"/>
      <c r="C143" s="16"/>
      <c r="D143" s="16"/>
    </row>
    <row r="144" customFormat="false" ht="15" hidden="false" customHeight="false" outlineLevel="0" collapsed="false">
      <c r="A144" s="15"/>
      <c r="B144" s="16"/>
      <c r="C144" s="16"/>
      <c r="D144" s="16"/>
    </row>
    <row r="145" customFormat="false" ht="15" hidden="false" customHeight="false" outlineLevel="0" collapsed="false">
      <c r="A145" s="15"/>
      <c r="B145" s="16"/>
      <c r="C145" s="16"/>
      <c r="D145" s="16"/>
    </row>
    <row r="146" customFormat="false" ht="15" hidden="false" customHeight="false" outlineLevel="0" collapsed="false">
      <c r="A146" s="15"/>
      <c r="B146" s="16"/>
      <c r="C146" s="16"/>
      <c r="D146" s="16"/>
    </row>
    <row r="147" customFormat="false" ht="15" hidden="false" customHeight="false" outlineLevel="0" collapsed="false">
      <c r="A147" s="15"/>
      <c r="B147" s="16"/>
      <c r="C147" s="16"/>
      <c r="D147" s="16"/>
    </row>
    <row r="148" customFormat="false" ht="15" hidden="false" customHeight="false" outlineLevel="0" collapsed="false">
      <c r="A148" s="15"/>
      <c r="B148" s="16"/>
      <c r="C148" s="16"/>
      <c r="D148" s="16"/>
    </row>
    <row r="149" customFormat="false" ht="15" hidden="false" customHeight="false" outlineLevel="0" collapsed="false">
      <c r="A149" s="15"/>
      <c r="B149" s="16"/>
      <c r="C149" s="16"/>
      <c r="D149" s="16"/>
    </row>
    <row r="150" customFormat="false" ht="15" hidden="false" customHeight="false" outlineLevel="0" collapsed="false">
      <c r="A150" s="15"/>
      <c r="B150" s="16"/>
      <c r="C150" s="16"/>
      <c r="D150" s="16"/>
    </row>
    <row r="151" customFormat="false" ht="15" hidden="false" customHeight="false" outlineLevel="0" collapsed="false">
      <c r="A151" s="15"/>
      <c r="B151" s="16"/>
      <c r="C151" s="16"/>
      <c r="D151" s="16"/>
    </row>
    <row r="152" customFormat="false" ht="15" hidden="false" customHeight="false" outlineLevel="0" collapsed="false">
      <c r="A152" s="15"/>
      <c r="B152" s="16"/>
      <c r="C152" s="16"/>
      <c r="D152" s="16"/>
    </row>
    <row r="153" customFormat="false" ht="15" hidden="false" customHeight="false" outlineLevel="0" collapsed="false">
      <c r="A153" s="15"/>
      <c r="B153" s="16"/>
      <c r="C153" s="16"/>
      <c r="D153" s="16"/>
    </row>
  </sheetData>
  <dataValidations count="2">
    <dataValidation allowBlank="true" errorStyle="stop" operator="between" showDropDown="false" showErrorMessage="false" showInputMessage="false" sqref="B4:B153" type="list">
      <formula1>Karyawan!$A$8:$A$37</formula1>
      <formula2>0</formula2>
    </dataValidation>
    <dataValidation allowBlank="true" errorStyle="stop" operator="between" showDropDown="false" showErrorMessage="false" showInputMessage="false" sqref="C4:C153" type="list">
      <formula1>Data!$O$2:$O$3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78D6"/>
    <pageSetUpPr fitToPage="false"/>
  </sheetPr>
  <dimension ref="A1:X8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6" min="5" style="0" width="12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9"/>
    <col collapsed="false" customWidth="true" hidden="false" outlineLevel="0" max="12" min="11" style="0" width="12"/>
    <col collapsed="false" customWidth="true" hidden="false" outlineLevel="0" max="13" min="13" style="0" width="13"/>
    <col collapsed="false" customWidth="true" hidden="false" outlineLevel="0" max="15" min="14" style="0" width="12"/>
    <col collapsed="false" customWidth="true" hidden="false" outlineLevel="0" max="16" min="16" style="0" width="8"/>
    <col collapsed="false" customWidth="true" hidden="false" outlineLevel="0" max="17" min="17" style="0" width="12"/>
    <col collapsed="false" customWidth="true" hidden="false" outlineLevel="0" max="18" min="18" style="0" width="13"/>
    <col collapsed="false" customWidth="true" hidden="false" outlineLevel="0" max="19" min="19" style="0" width="12"/>
    <col collapsed="false" customWidth="true" hidden="false" outlineLevel="0" max="20" min="20" style="0" width="10"/>
    <col collapsed="false" customWidth="true" hidden="false" outlineLevel="0" max="21" min="21" style="0" width="15"/>
    <col collapsed="false" customWidth="true" hidden="false" outlineLevel="0" max="24" min="22" style="0" width="13"/>
  </cols>
  <sheetData>
    <row r="1" customFormat="false" ht="19.7" hidden="false" customHeight="false" outlineLevel="0" collapsed="false">
      <c r="A1" s="1" t="s">
        <v>117</v>
      </c>
    </row>
    <row r="2" customFormat="false" ht="27.75" hidden="false" customHeight="true" outlineLevel="0" collapsed="false">
      <c r="A2" s="9" t="s">
        <v>118</v>
      </c>
      <c r="B2" s="10" t="s">
        <v>114</v>
      </c>
      <c r="C2" s="10" t="s">
        <v>102</v>
      </c>
      <c r="D2" s="10" t="s">
        <v>103</v>
      </c>
      <c r="E2" s="10" t="s">
        <v>119</v>
      </c>
      <c r="F2" s="10" t="s">
        <v>120</v>
      </c>
      <c r="G2" s="10" t="s">
        <v>121</v>
      </c>
      <c r="H2" s="10" t="s">
        <v>104</v>
      </c>
      <c r="I2" s="10" t="s">
        <v>122</v>
      </c>
      <c r="J2" s="10" t="s">
        <v>116</v>
      </c>
      <c r="K2" s="10" t="s">
        <v>123</v>
      </c>
      <c r="L2" s="10" t="s">
        <v>124</v>
      </c>
      <c r="M2" s="10" t="s">
        <v>107</v>
      </c>
      <c r="N2" s="10" t="s">
        <v>125</v>
      </c>
      <c r="O2" s="10" t="s">
        <v>126</v>
      </c>
      <c r="P2" s="10" t="s">
        <v>109</v>
      </c>
      <c r="Q2" s="10" t="s">
        <v>127</v>
      </c>
      <c r="R2" s="10" t="s">
        <v>128</v>
      </c>
      <c r="S2" s="10" t="s">
        <v>129</v>
      </c>
      <c r="T2" s="10" t="s">
        <v>130</v>
      </c>
      <c r="U2" s="10" t="s">
        <v>131</v>
      </c>
      <c r="V2" s="10" t="s">
        <v>132</v>
      </c>
      <c r="W2" s="10" t="s">
        <v>133</v>
      </c>
      <c r="X2" s="10" t="s">
        <v>134</v>
      </c>
    </row>
    <row r="3" customFormat="false" ht="15" hidden="false" customHeight="false" outlineLevel="0" collapsed="false">
      <c r="A3" s="12" t="str">
        <f aca="false">IF(B3="","",ROW()-2)</f>
        <v/>
      </c>
      <c r="B3" s="16"/>
      <c r="C3" s="12" t="str">
        <f aca="false">IF(B3="","",IFERROR(INDEX(Karyawan!$B$8:$B$37,MATCH(B3,Karyawan!$A$8:$A$37,0)),""))</f>
        <v/>
      </c>
      <c r="D3" s="12" t="str">
        <f aca="false">IF(B3="","",IFERROR(INDEX(Karyawan!$C$8:$C$37,MATCH(B3,Karyawan!$A$8:$A$37,0)),""))</f>
        <v/>
      </c>
      <c r="E3" s="15"/>
      <c r="F3" s="15"/>
      <c r="G3" s="12" t="str">
        <f aca="false">IF(B3="","",COUNTIFS('Absensi Harian'!$B$4:$B$153,B3,'Absensi Harian'!$A$4:$A$153,"&gt;="&amp;E3,'Absensi Harian'!$A$4:$A$153,"&lt;="&amp;F3,'Absensi Harian'!$C$4:$C$153,"Ya"))</f>
        <v/>
      </c>
      <c r="H3" s="13" t="str">
        <f aca="false">IF(B3="","",IFERROR(INDEX(Karyawan!$E$8:$E$37,MATCH(B3,Karyawan!$A$8:$A$37,0)),0))</f>
        <v/>
      </c>
      <c r="I3" s="13" t="str">
        <f aca="false">IF(B3="","",G3*H3)</f>
        <v/>
      </c>
      <c r="J3" s="12" t="str">
        <f aca="false">IF(B3="","",SUMIFS('Absensi Harian'!$D$4:$D$153,'Absensi Harian'!$B$4:$B$153,B3,'Absensi Harian'!$A$4:$A$153,"&gt;="&amp;E3,'Absensi Harian'!$A$4:$A$153,"&lt;="&amp;F3,'Absensi Harian'!$C$4:$C$153,"Ya"))</f>
        <v/>
      </c>
      <c r="K3" s="12" t="str">
        <f aca="false">IF(B3="","",IFERROR(INDEX(Karyawan!$F$8:$F$37,MATCH(B3,Karyawan!$A$8:$A$37,0)),0))</f>
        <v/>
      </c>
      <c r="L3" s="13" t="str">
        <f aca="false">IF(B3="","",J3*K3)</f>
        <v/>
      </c>
      <c r="M3" s="13" t="str">
        <f aca="false">IF(B3="","",IFERROR(INDEX(Karyawan!$H$8:$H$37,MATCH(B3,Karyawan!$A$8:$A$37,0)),0))</f>
        <v/>
      </c>
      <c r="N3" s="17"/>
      <c r="O3" s="17"/>
      <c r="P3" s="19" t="str">
        <f aca="false">IF(B3="","",IFERROR(INDEX(Karyawan!$J$8:$J$37,MATCH(B3,Karyawan!$A$8:$A$37,0)),0))</f>
        <v/>
      </c>
      <c r="Q3" s="13" t="str">
        <f aca="false">IF(B3="","",MAX(0,O3-N3)*P3)</f>
        <v/>
      </c>
      <c r="R3" s="13" t="str">
        <f aca="false">IF(B3="","",IF(D3="Bulanan",M3+Q3,I3+L3))</f>
        <v/>
      </c>
      <c r="S3" s="17"/>
      <c r="T3" s="17"/>
      <c r="U3" s="17"/>
      <c r="V3" s="13" t="str">
        <f aca="false">IF(B3="","",IFERROR(INDEX(Karyawan!$K$8:$K$37,MATCH(B3,Karyawan!$A$8:$A$37,0)),0))</f>
        <v/>
      </c>
      <c r="W3" s="13" t="str">
        <f aca="false">IF(B3="","",V3-U3)</f>
        <v/>
      </c>
      <c r="X3" s="13" t="str">
        <f aca="false">IF(B3="","",R3-S3-T3-U3)</f>
        <v/>
      </c>
    </row>
    <row r="4" customFormat="false" ht="15" hidden="false" customHeight="false" outlineLevel="0" collapsed="false">
      <c r="A4" s="12" t="str">
        <f aca="false">IF(B4="","",ROW()-2)</f>
        <v/>
      </c>
      <c r="B4" s="16"/>
      <c r="C4" s="12" t="str">
        <f aca="false">IF(B4="","",IFERROR(INDEX(Karyawan!$B$8:$B$37,MATCH(B4,Karyawan!$A$8:$A$37,0)),""))</f>
        <v/>
      </c>
      <c r="D4" s="12" t="str">
        <f aca="false">IF(B4="","",IFERROR(INDEX(Karyawan!$C$8:$C$37,MATCH(B4,Karyawan!$A$8:$A$37,0)),""))</f>
        <v/>
      </c>
      <c r="E4" s="15"/>
      <c r="F4" s="15"/>
      <c r="G4" s="12" t="str">
        <f aca="false">IF(B4="","",COUNTIFS('Absensi Harian'!$B$4:$B$153,B4,'Absensi Harian'!$A$4:$A$153,"&gt;="&amp;E4,'Absensi Harian'!$A$4:$A$153,"&lt;="&amp;F4,'Absensi Harian'!$C$4:$C$153,"Ya"))</f>
        <v/>
      </c>
      <c r="H4" s="13" t="str">
        <f aca="false">IF(B4="","",IFERROR(INDEX(Karyawan!$E$8:$E$37,MATCH(B4,Karyawan!$A$8:$A$37,0)),0))</f>
        <v/>
      </c>
      <c r="I4" s="13" t="str">
        <f aca="false">IF(B4="","",G4*H4)</f>
        <v/>
      </c>
      <c r="J4" s="12" t="str">
        <f aca="false">IF(B4="","",SUMIFS('Absensi Harian'!$D$4:$D$153,'Absensi Harian'!$B$4:$B$153,B4,'Absensi Harian'!$A$4:$A$153,"&gt;="&amp;E4,'Absensi Harian'!$A$4:$A$153,"&lt;="&amp;F4,'Absensi Harian'!$C$4:$C$153,"Ya"))</f>
        <v/>
      </c>
      <c r="K4" s="12" t="str">
        <f aca="false">IF(B4="","",IFERROR(INDEX(Karyawan!$F$8:$F$37,MATCH(B4,Karyawan!$A$8:$A$37,0)),0))</f>
        <v/>
      </c>
      <c r="L4" s="13" t="str">
        <f aca="false">IF(B4="","",J4*K4)</f>
        <v/>
      </c>
      <c r="M4" s="13" t="str">
        <f aca="false">IF(B4="","",IFERROR(INDEX(Karyawan!$H$8:$H$37,MATCH(B4,Karyawan!$A$8:$A$37,0)),0))</f>
        <v/>
      </c>
      <c r="N4" s="17"/>
      <c r="O4" s="17"/>
      <c r="P4" s="19" t="str">
        <f aca="false">IF(B4="","",IFERROR(INDEX(Karyawan!$J$8:$J$37,MATCH(B4,Karyawan!$A$8:$A$37,0)),0))</f>
        <v/>
      </c>
      <c r="Q4" s="13" t="str">
        <f aca="false">IF(B4="","",MAX(0,O4-N4)*P4)</f>
        <v/>
      </c>
      <c r="R4" s="13" t="str">
        <f aca="false">IF(B4="","",IF(D4="Bulanan",M4+Q4,I4+L4))</f>
        <v/>
      </c>
      <c r="S4" s="17"/>
      <c r="T4" s="17"/>
      <c r="U4" s="17"/>
      <c r="V4" s="13" t="str">
        <f aca="false">IF(B4="","",IFERROR(INDEX(Karyawan!$K$8:$K$37,MATCH(B4,Karyawan!$A$8:$A$37,0)),0)-SUMIFS($U$3:$U3,$B$3:$B3,B4))</f>
        <v/>
      </c>
      <c r="W4" s="13" t="str">
        <f aca="false">IF(B4="","",V4-U4)</f>
        <v/>
      </c>
      <c r="X4" s="13" t="str">
        <f aca="false">IF(B4="","",R4-S4-T4-U4)</f>
        <v/>
      </c>
    </row>
    <row r="5" customFormat="false" ht="15" hidden="false" customHeight="false" outlineLevel="0" collapsed="false">
      <c r="A5" s="12" t="str">
        <f aca="false">IF(B5="","",ROW()-2)</f>
        <v/>
      </c>
      <c r="B5" s="16"/>
      <c r="C5" s="12" t="str">
        <f aca="false">IF(B5="","",IFERROR(INDEX(Karyawan!$B$8:$B$37,MATCH(B5,Karyawan!$A$8:$A$37,0)),""))</f>
        <v/>
      </c>
      <c r="D5" s="12" t="str">
        <f aca="false">IF(B5="","",IFERROR(INDEX(Karyawan!$C$8:$C$37,MATCH(B5,Karyawan!$A$8:$A$37,0)),""))</f>
        <v/>
      </c>
      <c r="E5" s="15"/>
      <c r="F5" s="15"/>
      <c r="G5" s="12" t="str">
        <f aca="false">IF(B5="","",COUNTIFS('Absensi Harian'!$B$4:$B$153,B5,'Absensi Harian'!$A$4:$A$153,"&gt;="&amp;E5,'Absensi Harian'!$A$4:$A$153,"&lt;="&amp;F5,'Absensi Harian'!$C$4:$C$153,"Ya"))</f>
        <v/>
      </c>
      <c r="H5" s="13" t="str">
        <f aca="false">IF(B5="","",IFERROR(INDEX(Karyawan!$E$8:$E$37,MATCH(B5,Karyawan!$A$8:$A$37,0)),0))</f>
        <v/>
      </c>
      <c r="I5" s="13" t="str">
        <f aca="false">IF(B5="","",G5*H5)</f>
        <v/>
      </c>
      <c r="J5" s="12" t="str">
        <f aca="false">IF(B5="","",SUMIFS('Absensi Harian'!$D$4:$D$153,'Absensi Harian'!$B$4:$B$153,B5,'Absensi Harian'!$A$4:$A$153,"&gt;="&amp;E5,'Absensi Harian'!$A$4:$A$153,"&lt;="&amp;F5,'Absensi Harian'!$C$4:$C$153,"Ya"))</f>
        <v/>
      </c>
      <c r="K5" s="12" t="str">
        <f aca="false">IF(B5="","",IFERROR(INDEX(Karyawan!$F$8:$F$37,MATCH(B5,Karyawan!$A$8:$A$37,0)),0))</f>
        <v/>
      </c>
      <c r="L5" s="13" t="str">
        <f aca="false">IF(B5="","",J5*K5)</f>
        <v/>
      </c>
      <c r="M5" s="13" t="str">
        <f aca="false">IF(B5="","",IFERROR(INDEX(Karyawan!$H$8:$H$37,MATCH(B5,Karyawan!$A$8:$A$37,0)),0))</f>
        <v/>
      </c>
      <c r="N5" s="17"/>
      <c r="O5" s="17"/>
      <c r="P5" s="19" t="str">
        <f aca="false">IF(B5="","",IFERROR(INDEX(Karyawan!$J$8:$J$37,MATCH(B5,Karyawan!$A$8:$A$37,0)),0))</f>
        <v/>
      </c>
      <c r="Q5" s="13" t="str">
        <f aca="false">IF(B5="","",MAX(0,O5-N5)*P5)</f>
        <v/>
      </c>
      <c r="R5" s="13" t="str">
        <f aca="false">IF(B5="","",IF(D5="Bulanan",M5+Q5,I5+L5))</f>
        <v/>
      </c>
      <c r="S5" s="17"/>
      <c r="T5" s="17"/>
      <c r="U5" s="17"/>
      <c r="V5" s="13" t="str">
        <f aca="false">IF(B5="","",IFERROR(INDEX(Karyawan!$K$8:$K$37,MATCH(B5,Karyawan!$A$8:$A$37,0)),0)-SUMIFS($U$3:$U4,$B$3:$B4,B5))</f>
        <v/>
      </c>
      <c r="W5" s="13" t="str">
        <f aca="false">IF(B5="","",V5-U5)</f>
        <v/>
      </c>
      <c r="X5" s="13" t="str">
        <f aca="false">IF(B5="","",R5-S5-T5-U5)</f>
        <v/>
      </c>
    </row>
    <row r="6" customFormat="false" ht="15" hidden="false" customHeight="false" outlineLevel="0" collapsed="false">
      <c r="A6" s="12" t="str">
        <f aca="false">IF(B6="","",ROW()-2)</f>
        <v/>
      </c>
      <c r="B6" s="16"/>
      <c r="C6" s="12" t="str">
        <f aca="false">IF(B6="","",IFERROR(INDEX(Karyawan!$B$8:$B$37,MATCH(B6,Karyawan!$A$8:$A$37,0)),""))</f>
        <v/>
      </c>
      <c r="D6" s="12" t="str">
        <f aca="false">IF(B6="","",IFERROR(INDEX(Karyawan!$C$8:$C$37,MATCH(B6,Karyawan!$A$8:$A$37,0)),""))</f>
        <v/>
      </c>
      <c r="E6" s="15"/>
      <c r="F6" s="15"/>
      <c r="G6" s="12" t="str">
        <f aca="false">IF(B6="","",COUNTIFS('Absensi Harian'!$B$4:$B$153,B6,'Absensi Harian'!$A$4:$A$153,"&gt;="&amp;E6,'Absensi Harian'!$A$4:$A$153,"&lt;="&amp;F6,'Absensi Harian'!$C$4:$C$153,"Ya"))</f>
        <v/>
      </c>
      <c r="H6" s="13" t="str">
        <f aca="false">IF(B6="","",IFERROR(INDEX(Karyawan!$E$8:$E$37,MATCH(B6,Karyawan!$A$8:$A$37,0)),0))</f>
        <v/>
      </c>
      <c r="I6" s="13" t="str">
        <f aca="false">IF(B6="","",G6*H6)</f>
        <v/>
      </c>
      <c r="J6" s="12" t="str">
        <f aca="false">IF(B6="","",SUMIFS('Absensi Harian'!$D$4:$D$153,'Absensi Harian'!$B$4:$B$153,B6,'Absensi Harian'!$A$4:$A$153,"&gt;="&amp;E6,'Absensi Harian'!$A$4:$A$153,"&lt;="&amp;F6,'Absensi Harian'!$C$4:$C$153,"Ya"))</f>
        <v/>
      </c>
      <c r="K6" s="12" t="str">
        <f aca="false">IF(B6="","",IFERROR(INDEX(Karyawan!$F$8:$F$37,MATCH(B6,Karyawan!$A$8:$A$37,0)),0))</f>
        <v/>
      </c>
      <c r="L6" s="13" t="str">
        <f aca="false">IF(B6="","",J6*K6)</f>
        <v/>
      </c>
      <c r="M6" s="13" t="str">
        <f aca="false">IF(B6="","",IFERROR(INDEX(Karyawan!$H$8:$H$37,MATCH(B6,Karyawan!$A$8:$A$37,0)),0))</f>
        <v/>
      </c>
      <c r="N6" s="17"/>
      <c r="O6" s="17"/>
      <c r="P6" s="19" t="str">
        <f aca="false">IF(B6="","",IFERROR(INDEX(Karyawan!$J$8:$J$37,MATCH(B6,Karyawan!$A$8:$A$37,0)),0))</f>
        <v/>
      </c>
      <c r="Q6" s="13" t="str">
        <f aca="false">IF(B6="","",MAX(0,O6-N6)*P6)</f>
        <v/>
      </c>
      <c r="R6" s="13" t="str">
        <f aca="false">IF(B6="","",IF(D6="Bulanan",M6+Q6,I6+L6))</f>
        <v/>
      </c>
      <c r="S6" s="17"/>
      <c r="T6" s="17"/>
      <c r="U6" s="17"/>
      <c r="V6" s="13" t="str">
        <f aca="false">IF(B6="","",IFERROR(INDEX(Karyawan!$K$8:$K$37,MATCH(B6,Karyawan!$A$8:$A$37,0)),0)-SUMIFS($U$3:$U5,$B$3:$B5,B6))</f>
        <v/>
      </c>
      <c r="W6" s="13" t="str">
        <f aca="false">IF(B6="","",V6-U6)</f>
        <v/>
      </c>
      <c r="X6" s="13" t="str">
        <f aca="false">IF(B6="","",R6-S6-T6-U6)</f>
        <v/>
      </c>
    </row>
    <row r="7" customFormat="false" ht="15" hidden="false" customHeight="false" outlineLevel="0" collapsed="false">
      <c r="A7" s="12" t="str">
        <f aca="false">IF(B7="","",ROW()-2)</f>
        <v/>
      </c>
      <c r="B7" s="16"/>
      <c r="C7" s="12" t="str">
        <f aca="false">IF(B7="","",IFERROR(INDEX(Karyawan!$B$8:$B$37,MATCH(B7,Karyawan!$A$8:$A$37,0)),""))</f>
        <v/>
      </c>
      <c r="D7" s="12" t="str">
        <f aca="false">IF(B7="","",IFERROR(INDEX(Karyawan!$C$8:$C$37,MATCH(B7,Karyawan!$A$8:$A$37,0)),""))</f>
        <v/>
      </c>
      <c r="E7" s="15"/>
      <c r="F7" s="15"/>
      <c r="G7" s="12" t="str">
        <f aca="false">IF(B7="","",COUNTIFS('Absensi Harian'!$B$4:$B$153,B7,'Absensi Harian'!$A$4:$A$153,"&gt;="&amp;E7,'Absensi Harian'!$A$4:$A$153,"&lt;="&amp;F7,'Absensi Harian'!$C$4:$C$153,"Ya"))</f>
        <v/>
      </c>
      <c r="H7" s="13" t="str">
        <f aca="false">IF(B7="","",IFERROR(INDEX(Karyawan!$E$8:$E$37,MATCH(B7,Karyawan!$A$8:$A$37,0)),0))</f>
        <v/>
      </c>
      <c r="I7" s="13" t="str">
        <f aca="false">IF(B7="","",G7*H7)</f>
        <v/>
      </c>
      <c r="J7" s="12" t="str">
        <f aca="false">IF(B7="","",SUMIFS('Absensi Harian'!$D$4:$D$153,'Absensi Harian'!$B$4:$B$153,B7,'Absensi Harian'!$A$4:$A$153,"&gt;="&amp;E7,'Absensi Harian'!$A$4:$A$153,"&lt;="&amp;F7,'Absensi Harian'!$C$4:$C$153,"Ya"))</f>
        <v/>
      </c>
      <c r="K7" s="12" t="str">
        <f aca="false">IF(B7="","",IFERROR(INDEX(Karyawan!$F$8:$F$37,MATCH(B7,Karyawan!$A$8:$A$37,0)),0))</f>
        <v/>
      </c>
      <c r="L7" s="13" t="str">
        <f aca="false">IF(B7="","",J7*K7)</f>
        <v/>
      </c>
      <c r="M7" s="13" t="str">
        <f aca="false">IF(B7="","",IFERROR(INDEX(Karyawan!$H$8:$H$37,MATCH(B7,Karyawan!$A$8:$A$37,0)),0))</f>
        <v/>
      </c>
      <c r="N7" s="17"/>
      <c r="O7" s="17"/>
      <c r="P7" s="19" t="str">
        <f aca="false">IF(B7="","",IFERROR(INDEX(Karyawan!$J$8:$J$37,MATCH(B7,Karyawan!$A$8:$A$37,0)),0))</f>
        <v/>
      </c>
      <c r="Q7" s="13" t="str">
        <f aca="false">IF(B7="","",MAX(0,O7-N7)*P7)</f>
        <v/>
      </c>
      <c r="R7" s="13" t="str">
        <f aca="false">IF(B7="","",IF(D7="Bulanan",M7+Q7,I7+L7))</f>
        <v/>
      </c>
      <c r="S7" s="17"/>
      <c r="T7" s="17"/>
      <c r="U7" s="17"/>
      <c r="V7" s="13" t="str">
        <f aca="false">IF(B7="","",IFERROR(INDEX(Karyawan!$K$8:$K$37,MATCH(B7,Karyawan!$A$8:$A$37,0)),0)-SUMIFS($U$3:$U6,$B$3:$B6,B7))</f>
        <v/>
      </c>
      <c r="W7" s="13" t="str">
        <f aca="false">IF(B7="","",V7-U7)</f>
        <v/>
      </c>
      <c r="X7" s="13" t="str">
        <f aca="false">IF(B7="","",R7-S7-T7-U7)</f>
        <v/>
      </c>
    </row>
    <row r="8" customFormat="false" ht="15" hidden="false" customHeight="false" outlineLevel="0" collapsed="false">
      <c r="A8" s="12" t="str">
        <f aca="false">IF(B8="","",ROW()-2)</f>
        <v/>
      </c>
      <c r="B8" s="16"/>
      <c r="C8" s="12" t="str">
        <f aca="false">IF(B8="","",IFERROR(INDEX(Karyawan!$B$8:$B$37,MATCH(B8,Karyawan!$A$8:$A$37,0)),""))</f>
        <v/>
      </c>
      <c r="D8" s="12" t="str">
        <f aca="false">IF(B8="","",IFERROR(INDEX(Karyawan!$C$8:$C$37,MATCH(B8,Karyawan!$A$8:$A$37,0)),""))</f>
        <v/>
      </c>
      <c r="E8" s="15"/>
      <c r="F8" s="15"/>
      <c r="G8" s="12" t="str">
        <f aca="false">IF(B8="","",COUNTIFS('Absensi Harian'!$B$4:$B$153,B8,'Absensi Harian'!$A$4:$A$153,"&gt;="&amp;E8,'Absensi Harian'!$A$4:$A$153,"&lt;="&amp;F8,'Absensi Harian'!$C$4:$C$153,"Ya"))</f>
        <v/>
      </c>
      <c r="H8" s="13" t="str">
        <f aca="false">IF(B8="","",IFERROR(INDEX(Karyawan!$E$8:$E$37,MATCH(B8,Karyawan!$A$8:$A$37,0)),0))</f>
        <v/>
      </c>
      <c r="I8" s="13" t="str">
        <f aca="false">IF(B8="","",G8*H8)</f>
        <v/>
      </c>
      <c r="J8" s="12" t="str">
        <f aca="false">IF(B8="","",SUMIFS('Absensi Harian'!$D$4:$D$153,'Absensi Harian'!$B$4:$B$153,B8,'Absensi Harian'!$A$4:$A$153,"&gt;="&amp;E8,'Absensi Harian'!$A$4:$A$153,"&lt;="&amp;F8,'Absensi Harian'!$C$4:$C$153,"Ya"))</f>
        <v/>
      </c>
      <c r="K8" s="12" t="str">
        <f aca="false">IF(B8="","",IFERROR(INDEX(Karyawan!$F$8:$F$37,MATCH(B8,Karyawan!$A$8:$A$37,0)),0))</f>
        <v/>
      </c>
      <c r="L8" s="13" t="str">
        <f aca="false">IF(B8="","",J8*K8)</f>
        <v/>
      </c>
      <c r="M8" s="13" t="str">
        <f aca="false">IF(B8="","",IFERROR(INDEX(Karyawan!$H$8:$H$37,MATCH(B8,Karyawan!$A$8:$A$37,0)),0))</f>
        <v/>
      </c>
      <c r="N8" s="17"/>
      <c r="O8" s="17"/>
      <c r="P8" s="19" t="str">
        <f aca="false">IF(B8="","",IFERROR(INDEX(Karyawan!$J$8:$J$37,MATCH(B8,Karyawan!$A$8:$A$37,0)),0))</f>
        <v/>
      </c>
      <c r="Q8" s="13" t="str">
        <f aca="false">IF(B8="","",MAX(0,O8-N8)*P8)</f>
        <v/>
      </c>
      <c r="R8" s="13" t="str">
        <f aca="false">IF(B8="","",IF(D8="Bulanan",M8+Q8,I8+L8))</f>
        <v/>
      </c>
      <c r="S8" s="17"/>
      <c r="T8" s="17"/>
      <c r="U8" s="17"/>
      <c r="V8" s="13" t="str">
        <f aca="false">IF(B8="","",IFERROR(INDEX(Karyawan!$K$8:$K$37,MATCH(B8,Karyawan!$A$8:$A$37,0)),0)-SUMIFS($U$3:$U7,$B$3:$B7,B8))</f>
        <v/>
      </c>
      <c r="W8" s="13" t="str">
        <f aca="false">IF(B8="","",V8-U8)</f>
        <v/>
      </c>
      <c r="X8" s="13" t="str">
        <f aca="false">IF(B8="","",R8-S8-T8-U8)</f>
        <v/>
      </c>
    </row>
    <row r="9" customFormat="false" ht="15" hidden="false" customHeight="false" outlineLevel="0" collapsed="false">
      <c r="A9" s="12" t="str">
        <f aca="false">IF(B9="","",ROW()-2)</f>
        <v/>
      </c>
      <c r="B9" s="16"/>
      <c r="C9" s="12" t="str">
        <f aca="false">IF(B9="","",IFERROR(INDEX(Karyawan!$B$8:$B$37,MATCH(B9,Karyawan!$A$8:$A$37,0)),""))</f>
        <v/>
      </c>
      <c r="D9" s="12" t="str">
        <f aca="false">IF(B9="","",IFERROR(INDEX(Karyawan!$C$8:$C$37,MATCH(B9,Karyawan!$A$8:$A$37,0)),""))</f>
        <v/>
      </c>
      <c r="E9" s="15"/>
      <c r="F9" s="15"/>
      <c r="G9" s="12" t="str">
        <f aca="false">IF(B9="","",COUNTIFS('Absensi Harian'!$B$4:$B$153,B9,'Absensi Harian'!$A$4:$A$153,"&gt;="&amp;E9,'Absensi Harian'!$A$4:$A$153,"&lt;="&amp;F9,'Absensi Harian'!$C$4:$C$153,"Ya"))</f>
        <v/>
      </c>
      <c r="H9" s="13" t="str">
        <f aca="false">IF(B9="","",IFERROR(INDEX(Karyawan!$E$8:$E$37,MATCH(B9,Karyawan!$A$8:$A$37,0)),0))</f>
        <v/>
      </c>
      <c r="I9" s="13" t="str">
        <f aca="false">IF(B9="","",G9*H9)</f>
        <v/>
      </c>
      <c r="J9" s="12" t="str">
        <f aca="false">IF(B9="","",SUMIFS('Absensi Harian'!$D$4:$D$153,'Absensi Harian'!$B$4:$B$153,B9,'Absensi Harian'!$A$4:$A$153,"&gt;="&amp;E9,'Absensi Harian'!$A$4:$A$153,"&lt;="&amp;F9,'Absensi Harian'!$C$4:$C$153,"Ya"))</f>
        <v/>
      </c>
      <c r="K9" s="12" t="str">
        <f aca="false">IF(B9="","",IFERROR(INDEX(Karyawan!$F$8:$F$37,MATCH(B9,Karyawan!$A$8:$A$37,0)),0))</f>
        <v/>
      </c>
      <c r="L9" s="13" t="str">
        <f aca="false">IF(B9="","",J9*K9)</f>
        <v/>
      </c>
      <c r="M9" s="13" t="str">
        <f aca="false">IF(B9="","",IFERROR(INDEX(Karyawan!$H$8:$H$37,MATCH(B9,Karyawan!$A$8:$A$37,0)),0))</f>
        <v/>
      </c>
      <c r="N9" s="17"/>
      <c r="O9" s="17"/>
      <c r="P9" s="19" t="str">
        <f aca="false">IF(B9="","",IFERROR(INDEX(Karyawan!$J$8:$J$37,MATCH(B9,Karyawan!$A$8:$A$37,0)),0))</f>
        <v/>
      </c>
      <c r="Q9" s="13" t="str">
        <f aca="false">IF(B9="","",MAX(0,O9-N9)*P9)</f>
        <v/>
      </c>
      <c r="R9" s="13" t="str">
        <f aca="false">IF(B9="","",IF(D9="Bulanan",M9+Q9,I9+L9))</f>
        <v/>
      </c>
      <c r="S9" s="17"/>
      <c r="T9" s="17"/>
      <c r="U9" s="17"/>
      <c r="V9" s="13" t="str">
        <f aca="false">IF(B9="","",IFERROR(INDEX(Karyawan!$K$8:$K$37,MATCH(B9,Karyawan!$A$8:$A$37,0)),0)-SUMIFS($U$3:$U8,$B$3:$B8,B9))</f>
        <v/>
      </c>
      <c r="W9" s="13" t="str">
        <f aca="false">IF(B9="","",V9-U9)</f>
        <v/>
      </c>
      <c r="X9" s="13" t="str">
        <f aca="false">IF(B9="","",R9-S9-T9-U9)</f>
        <v/>
      </c>
    </row>
    <row r="10" customFormat="false" ht="15" hidden="false" customHeight="false" outlineLevel="0" collapsed="false">
      <c r="A10" s="12" t="str">
        <f aca="false">IF(B10="","",ROW()-2)</f>
        <v/>
      </c>
      <c r="B10" s="16"/>
      <c r="C10" s="12" t="str">
        <f aca="false">IF(B10="","",IFERROR(INDEX(Karyawan!$B$8:$B$37,MATCH(B10,Karyawan!$A$8:$A$37,0)),""))</f>
        <v/>
      </c>
      <c r="D10" s="12" t="str">
        <f aca="false">IF(B10="","",IFERROR(INDEX(Karyawan!$C$8:$C$37,MATCH(B10,Karyawan!$A$8:$A$37,0)),""))</f>
        <v/>
      </c>
      <c r="E10" s="15"/>
      <c r="F10" s="15"/>
      <c r="G10" s="12" t="str">
        <f aca="false">IF(B10="","",COUNTIFS('Absensi Harian'!$B$4:$B$153,B10,'Absensi Harian'!$A$4:$A$153,"&gt;="&amp;E10,'Absensi Harian'!$A$4:$A$153,"&lt;="&amp;F10,'Absensi Harian'!$C$4:$C$153,"Ya"))</f>
        <v/>
      </c>
      <c r="H10" s="13" t="str">
        <f aca="false">IF(B10="","",IFERROR(INDEX(Karyawan!$E$8:$E$37,MATCH(B10,Karyawan!$A$8:$A$37,0)),0))</f>
        <v/>
      </c>
      <c r="I10" s="13" t="str">
        <f aca="false">IF(B10="","",G10*H10)</f>
        <v/>
      </c>
      <c r="J10" s="12" t="str">
        <f aca="false">IF(B10="","",SUMIFS('Absensi Harian'!$D$4:$D$153,'Absensi Harian'!$B$4:$B$153,B10,'Absensi Harian'!$A$4:$A$153,"&gt;="&amp;E10,'Absensi Harian'!$A$4:$A$153,"&lt;="&amp;F10,'Absensi Harian'!$C$4:$C$153,"Ya"))</f>
        <v/>
      </c>
      <c r="K10" s="12" t="str">
        <f aca="false">IF(B10="","",IFERROR(INDEX(Karyawan!$F$8:$F$37,MATCH(B10,Karyawan!$A$8:$A$37,0)),0))</f>
        <v/>
      </c>
      <c r="L10" s="13" t="str">
        <f aca="false">IF(B10="","",J10*K10)</f>
        <v/>
      </c>
      <c r="M10" s="13" t="str">
        <f aca="false">IF(B10="","",IFERROR(INDEX(Karyawan!$H$8:$H$37,MATCH(B10,Karyawan!$A$8:$A$37,0)),0))</f>
        <v/>
      </c>
      <c r="N10" s="17"/>
      <c r="O10" s="17"/>
      <c r="P10" s="19" t="str">
        <f aca="false">IF(B10="","",IFERROR(INDEX(Karyawan!$J$8:$J$37,MATCH(B10,Karyawan!$A$8:$A$37,0)),0))</f>
        <v/>
      </c>
      <c r="Q10" s="13" t="str">
        <f aca="false">IF(B10="","",MAX(0,O10-N10)*P10)</f>
        <v/>
      </c>
      <c r="R10" s="13" t="str">
        <f aca="false">IF(B10="","",IF(D10="Bulanan",M10+Q10,I10+L10))</f>
        <v/>
      </c>
      <c r="S10" s="17"/>
      <c r="T10" s="17"/>
      <c r="U10" s="17"/>
      <c r="V10" s="13" t="str">
        <f aca="false">IF(B10="","",IFERROR(INDEX(Karyawan!$K$8:$K$37,MATCH(B10,Karyawan!$A$8:$A$37,0)),0)-SUMIFS($U$3:$U9,$B$3:$B9,B10))</f>
        <v/>
      </c>
      <c r="W10" s="13" t="str">
        <f aca="false">IF(B10="","",V10-U10)</f>
        <v/>
      </c>
      <c r="X10" s="13" t="str">
        <f aca="false">IF(B10="","",R10-S10-T10-U10)</f>
        <v/>
      </c>
    </row>
    <row r="11" customFormat="false" ht="15" hidden="false" customHeight="false" outlineLevel="0" collapsed="false">
      <c r="A11" s="12" t="str">
        <f aca="false">IF(B11="","",ROW()-2)</f>
        <v/>
      </c>
      <c r="B11" s="16"/>
      <c r="C11" s="12" t="str">
        <f aca="false">IF(B11="","",IFERROR(INDEX(Karyawan!$B$8:$B$37,MATCH(B11,Karyawan!$A$8:$A$37,0)),""))</f>
        <v/>
      </c>
      <c r="D11" s="12" t="str">
        <f aca="false">IF(B11="","",IFERROR(INDEX(Karyawan!$C$8:$C$37,MATCH(B11,Karyawan!$A$8:$A$37,0)),""))</f>
        <v/>
      </c>
      <c r="E11" s="15"/>
      <c r="F11" s="15"/>
      <c r="G11" s="12" t="str">
        <f aca="false">IF(B11="","",COUNTIFS('Absensi Harian'!$B$4:$B$153,B11,'Absensi Harian'!$A$4:$A$153,"&gt;="&amp;E11,'Absensi Harian'!$A$4:$A$153,"&lt;="&amp;F11,'Absensi Harian'!$C$4:$C$153,"Ya"))</f>
        <v/>
      </c>
      <c r="H11" s="13" t="str">
        <f aca="false">IF(B11="","",IFERROR(INDEX(Karyawan!$E$8:$E$37,MATCH(B11,Karyawan!$A$8:$A$37,0)),0))</f>
        <v/>
      </c>
      <c r="I11" s="13" t="str">
        <f aca="false">IF(B11="","",G11*H11)</f>
        <v/>
      </c>
      <c r="J11" s="12" t="str">
        <f aca="false">IF(B11="","",SUMIFS('Absensi Harian'!$D$4:$D$153,'Absensi Harian'!$B$4:$B$153,B11,'Absensi Harian'!$A$4:$A$153,"&gt;="&amp;E11,'Absensi Harian'!$A$4:$A$153,"&lt;="&amp;F11,'Absensi Harian'!$C$4:$C$153,"Ya"))</f>
        <v/>
      </c>
      <c r="K11" s="12" t="str">
        <f aca="false">IF(B11="","",IFERROR(INDEX(Karyawan!$F$8:$F$37,MATCH(B11,Karyawan!$A$8:$A$37,0)),0))</f>
        <v/>
      </c>
      <c r="L11" s="13" t="str">
        <f aca="false">IF(B11="","",J11*K11)</f>
        <v/>
      </c>
      <c r="M11" s="13" t="str">
        <f aca="false">IF(B11="","",IFERROR(INDEX(Karyawan!$H$8:$H$37,MATCH(B11,Karyawan!$A$8:$A$37,0)),0))</f>
        <v/>
      </c>
      <c r="N11" s="17"/>
      <c r="O11" s="17"/>
      <c r="P11" s="19" t="str">
        <f aca="false">IF(B11="","",IFERROR(INDEX(Karyawan!$J$8:$J$37,MATCH(B11,Karyawan!$A$8:$A$37,0)),0))</f>
        <v/>
      </c>
      <c r="Q11" s="13" t="str">
        <f aca="false">IF(B11="","",MAX(0,O11-N11)*P11)</f>
        <v/>
      </c>
      <c r="R11" s="13" t="str">
        <f aca="false">IF(B11="","",IF(D11="Bulanan",M11+Q11,I11+L11))</f>
        <v/>
      </c>
      <c r="S11" s="17"/>
      <c r="T11" s="17"/>
      <c r="U11" s="17"/>
      <c r="V11" s="13" t="str">
        <f aca="false">IF(B11="","",IFERROR(INDEX(Karyawan!$K$8:$K$37,MATCH(B11,Karyawan!$A$8:$A$37,0)),0)-SUMIFS($U$3:$U10,$B$3:$B10,B11))</f>
        <v/>
      </c>
      <c r="W11" s="13" t="str">
        <f aca="false">IF(B11="","",V11-U11)</f>
        <v/>
      </c>
      <c r="X11" s="13" t="str">
        <f aca="false">IF(B11="","",R11-S11-T11-U11)</f>
        <v/>
      </c>
    </row>
    <row r="12" customFormat="false" ht="15" hidden="false" customHeight="false" outlineLevel="0" collapsed="false">
      <c r="A12" s="12" t="str">
        <f aca="false">IF(B12="","",ROW()-2)</f>
        <v/>
      </c>
      <c r="B12" s="16"/>
      <c r="C12" s="12" t="str">
        <f aca="false">IF(B12="","",IFERROR(INDEX(Karyawan!$B$8:$B$37,MATCH(B12,Karyawan!$A$8:$A$37,0)),""))</f>
        <v/>
      </c>
      <c r="D12" s="12" t="str">
        <f aca="false">IF(B12="","",IFERROR(INDEX(Karyawan!$C$8:$C$37,MATCH(B12,Karyawan!$A$8:$A$37,0)),""))</f>
        <v/>
      </c>
      <c r="E12" s="15"/>
      <c r="F12" s="15"/>
      <c r="G12" s="12" t="str">
        <f aca="false">IF(B12="","",COUNTIFS('Absensi Harian'!$B$4:$B$153,B12,'Absensi Harian'!$A$4:$A$153,"&gt;="&amp;E12,'Absensi Harian'!$A$4:$A$153,"&lt;="&amp;F12,'Absensi Harian'!$C$4:$C$153,"Ya"))</f>
        <v/>
      </c>
      <c r="H12" s="13" t="str">
        <f aca="false">IF(B12="","",IFERROR(INDEX(Karyawan!$E$8:$E$37,MATCH(B12,Karyawan!$A$8:$A$37,0)),0))</f>
        <v/>
      </c>
      <c r="I12" s="13" t="str">
        <f aca="false">IF(B12="","",G12*H12)</f>
        <v/>
      </c>
      <c r="J12" s="12" t="str">
        <f aca="false">IF(B12="","",SUMIFS('Absensi Harian'!$D$4:$D$153,'Absensi Harian'!$B$4:$B$153,B12,'Absensi Harian'!$A$4:$A$153,"&gt;="&amp;E12,'Absensi Harian'!$A$4:$A$153,"&lt;="&amp;F12,'Absensi Harian'!$C$4:$C$153,"Ya"))</f>
        <v/>
      </c>
      <c r="K12" s="12" t="str">
        <f aca="false">IF(B12="","",IFERROR(INDEX(Karyawan!$F$8:$F$37,MATCH(B12,Karyawan!$A$8:$A$37,0)),0))</f>
        <v/>
      </c>
      <c r="L12" s="13" t="str">
        <f aca="false">IF(B12="","",J12*K12)</f>
        <v/>
      </c>
      <c r="M12" s="13" t="str">
        <f aca="false">IF(B12="","",IFERROR(INDEX(Karyawan!$H$8:$H$37,MATCH(B12,Karyawan!$A$8:$A$37,0)),0))</f>
        <v/>
      </c>
      <c r="N12" s="17"/>
      <c r="O12" s="17"/>
      <c r="P12" s="19" t="str">
        <f aca="false">IF(B12="","",IFERROR(INDEX(Karyawan!$J$8:$J$37,MATCH(B12,Karyawan!$A$8:$A$37,0)),0))</f>
        <v/>
      </c>
      <c r="Q12" s="13" t="str">
        <f aca="false">IF(B12="","",MAX(0,O12-N12)*P12)</f>
        <v/>
      </c>
      <c r="R12" s="13" t="str">
        <f aca="false">IF(B12="","",IF(D12="Bulanan",M12+Q12,I12+L12))</f>
        <v/>
      </c>
      <c r="S12" s="17"/>
      <c r="T12" s="17"/>
      <c r="U12" s="17"/>
      <c r="V12" s="13" t="str">
        <f aca="false">IF(B12="","",IFERROR(INDEX(Karyawan!$K$8:$K$37,MATCH(B12,Karyawan!$A$8:$A$37,0)),0)-SUMIFS($U$3:$U11,$B$3:$B11,B12))</f>
        <v/>
      </c>
      <c r="W12" s="13" t="str">
        <f aca="false">IF(B12="","",V12-U12)</f>
        <v/>
      </c>
      <c r="X12" s="13" t="str">
        <f aca="false">IF(B12="","",R12-S12-T12-U12)</f>
        <v/>
      </c>
    </row>
    <row r="13" customFormat="false" ht="15" hidden="false" customHeight="false" outlineLevel="0" collapsed="false">
      <c r="A13" s="12" t="str">
        <f aca="false">IF(B13="","",ROW()-2)</f>
        <v/>
      </c>
      <c r="B13" s="16"/>
      <c r="C13" s="12" t="str">
        <f aca="false">IF(B13="","",IFERROR(INDEX(Karyawan!$B$8:$B$37,MATCH(B13,Karyawan!$A$8:$A$37,0)),""))</f>
        <v/>
      </c>
      <c r="D13" s="12" t="str">
        <f aca="false">IF(B13="","",IFERROR(INDEX(Karyawan!$C$8:$C$37,MATCH(B13,Karyawan!$A$8:$A$37,0)),""))</f>
        <v/>
      </c>
      <c r="E13" s="15"/>
      <c r="F13" s="15"/>
      <c r="G13" s="12" t="str">
        <f aca="false">IF(B13="","",COUNTIFS('Absensi Harian'!$B$4:$B$153,B13,'Absensi Harian'!$A$4:$A$153,"&gt;="&amp;E13,'Absensi Harian'!$A$4:$A$153,"&lt;="&amp;F13,'Absensi Harian'!$C$4:$C$153,"Ya"))</f>
        <v/>
      </c>
      <c r="H13" s="13" t="str">
        <f aca="false">IF(B13="","",IFERROR(INDEX(Karyawan!$E$8:$E$37,MATCH(B13,Karyawan!$A$8:$A$37,0)),0))</f>
        <v/>
      </c>
      <c r="I13" s="13" t="str">
        <f aca="false">IF(B13="","",G13*H13)</f>
        <v/>
      </c>
      <c r="J13" s="12" t="str">
        <f aca="false">IF(B13="","",SUMIFS('Absensi Harian'!$D$4:$D$153,'Absensi Harian'!$B$4:$B$153,B13,'Absensi Harian'!$A$4:$A$153,"&gt;="&amp;E13,'Absensi Harian'!$A$4:$A$153,"&lt;="&amp;F13,'Absensi Harian'!$C$4:$C$153,"Ya"))</f>
        <v/>
      </c>
      <c r="K13" s="12" t="str">
        <f aca="false">IF(B13="","",IFERROR(INDEX(Karyawan!$F$8:$F$37,MATCH(B13,Karyawan!$A$8:$A$37,0)),0))</f>
        <v/>
      </c>
      <c r="L13" s="13" t="str">
        <f aca="false">IF(B13="","",J13*K13)</f>
        <v/>
      </c>
      <c r="M13" s="13" t="str">
        <f aca="false">IF(B13="","",IFERROR(INDEX(Karyawan!$H$8:$H$37,MATCH(B13,Karyawan!$A$8:$A$37,0)),0))</f>
        <v/>
      </c>
      <c r="N13" s="17"/>
      <c r="O13" s="17"/>
      <c r="P13" s="19" t="str">
        <f aca="false">IF(B13="","",IFERROR(INDEX(Karyawan!$J$8:$J$37,MATCH(B13,Karyawan!$A$8:$A$37,0)),0))</f>
        <v/>
      </c>
      <c r="Q13" s="13" t="str">
        <f aca="false">IF(B13="","",MAX(0,O13-N13)*P13)</f>
        <v/>
      </c>
      <c r="R13" s="13" t="str">
        <f aca="false">IF(B13="","",IF(D13="Bulanan",M13+Q13,I13+L13))</f>
        <v/>
      </c>
      <c r="S13" s="17"/>
      <c r="T13" s="17"/>
      <c r="U13" s="17"/>
      <c r="V13" s="13" t="str">
        <f aca="false">IF(B13="","",IFERROR(INDEX(Karyawan!$K$8:$K$37,MATCH(B13,Karyawan!$A$8:$A$37,0)),0)-SUMIFS($U$3:$U12,$B$3:$B12,B13))</f>
        <v/>
      </c>
      <c r="W13" s="13" t="str">
        <f aca="false">IF(B13="","",V13-U13)</f>
        <v/>
      </c>
      <c r="X13" s="13" t="str">
        <f aca="false">IF(B13="","",R13-S13-T13-U13)</f>
        <v/>
      </c>
    </row>
    <row r="14" customFormat="false" ht="15" hidden="false" customHeight="false" outlineLevel="0" collapsed="false">
      <c r="A14" s="12" t="str">
        <f aca="false">IF(B14="","",ROW()-2)</f>
        <v/>
      </c>
      <c r="B14" s="16"/>
      <c r="C14" s="12" t="str">
        <f aca="false">IF(B14="","",IFERROR(INDEX(Karyawan!$B$8:$B$37,MATCH(B14,Karyawan!$A$8:$A$37,0)),""))</f>
        <v/>
      </c>
      <c r="D14" s="12" t="str">
        <f aca="false">IF(B14="","",IFERROR(INDEX(Karyawan!$C$8:$C$37,MATCH(B14,Karyawan!$A$8:$A$37,0)),""))</f>
        <v/>
      </c>
      <c r="E14" s="15"/>
      <c r="F14" s="15"/>
      <c r="G14" s="12" t="str">
        <f aca="false">IF(B14="","",COUNTIFS('Absensi Harian'!$B$4:$B$153,B14,'Absensi Harian'!$A$4:$A$153,"&gt;="&amp;E14,'Absensi Harian'!$A$4:$A$153,"&lt;="&amp;F14,'Absensi Harian'!$C$4:$C$153,"Ya"))</f>
        <v/>
      </c>
      <c r="H14" s="13" t="str">
        <f aca="false">IF(B14="","",IFERROR(INDEX(Karyawan!$E$8:$E$37,MATCH(B14,Karyawan!$A$8:$A$37,0)),0))</f>
        <v/>
      </c>
      <c r="I14" s="13" t="str">
        <f aca="false">IF(B14="","",G14*H14)</f>
        <v/>
      </c>
      <c r="J14" s="12" t="str">
        <f aca="false">IF(B14="","",SUMIFS('Absensi Harian'!$D$4:$D$153,'Absensi Harian'!$B$4:$B$153,B14,'Absensi Harian'!$A$4:$A$153,"&gt;="&amp;E14,'Absensi Harian'!$A$4:$A$153,"&lt;="&amp;F14,'Absensi Harian'!$C$4:$C$153,"Ya"))</f>
        <v/>
      </c>
      <c r="K14" s="12" t="str">
        <f aca="false">IF(B14="","",IFERROR(INDEX(Karyawan!$F$8:$F$37,MATCH(B14,Karyawan!$A$8:$A$37,0)),0))</f>
        <v/>
      </c>
      <c r="L14" s="13" t="str">
        <f aca="false">IF(B14="","",J14*K14)</f>
        <v/>
      </c>
      <c r="M14" s="13" t="str">
        <f aca="false">IF(B14="","",IFERROR(INDEX(Karyawan!$H$8:$H$37,MATCH(B14,Karyawan!$A$8:$A$37,0)),0))</f>
        <v/>
      </c>
      <c r="N14" s="17"/>
      <c r="O14" s="17"/>
      <c r="P14" s="19" t="str">
        <f aca="false">IF(B14="","",IFERROR(INDEX(Karyawan!$J$8:$J$37,MATCH(B14,Karyawan!$A$8:$A$37,0)),0))</f>
        <v/>
      </c>
      <c r="Q14" s="13" t="str">
        <f aca="false">IF(B14="","",MAX(0,O14-N14)*P14)</f>
        <v/>
      </c>
      <c r="R14" s="13" t="str">
        <f aca="false">IF(B14="","",IF(D14="Bulanan",M14+Q14,I14+L14))</f>
        <v/>
      </c>
      <c r="S14" s="17"/>
      <c r="T14" s="17"/>
      <c r="U14" s="17"/>
      <c r="V14" s="13" t="str">
        <f aca="false">IF(B14="","",IFERROR(INDEX(Karyawan!$K$8:$K$37,MATCH(B14,Karyawan!$A$8:$A$37,0)),0)-SUMIFS($U$3:$U13,$B$3:$B13,B14))</f>
        <v/>
      </c>
      <c r="W14" s="13" t="str">
        <f aca="false">IF(B14="","",V14-U14)</f>
        <v/>
      </c>
      <c r="X14" s="13" t="str">
        <f aca="false">IF(B14="","",R14-S14-T14-U14)</f>
        <v/>
      </c>
    </row>
    <row r="15" customFormat="false" ht="15" hidden="false" customHeight="false" outlineLevel="0" collapsed="false">
      <c r="A15" s="12" t="str">
        <f aca="false">IF(B15="","",ROW()-2)</f>
        <v/>
      </c>
      <c r="B15" s="16"/>
      <c r="C15" s="12" t="str">
        <f aca="false">IF(B15="","",IFERROR(INDEX(Karyawan!$B$8:$B$37,MATCH(B15,Karyawan!$A$8:$A$37,0)),""))</f>
        <v/>
      </c>
      <c r="D15" s="12" t="str">
        <f aca="false">IF(B15="","",IFERROR(INDEX(Karyawan!$C$8:$C$37,MATCH(B15,Karyawan!$A$8:$A$37,0)),""))</f>
        <v/>
      </c>
      <c r="E15" s="15"/>
      <c r="F15" s="15"/>
      <c r="G15" s="12" t="str">
        <f aca="false">IF(B15="","",COUNTIFS('Absensi Harian'!$B$4:$B$153,B15,'Absensi Harian'!$A$4:$A$153,"&gt;="&amp;E15,'Absensi Harian'!$A$4:$A$153,"&lt;="&amp;F15,'Absensi Harian'!$C$4:$C$153,"Ya"))</f>
        <v/>
      </c>
      <c r="H15" s="13" t="str">
        <f aca="false">IF(B15="","",IFERROR(INDEX(Karyawan!$E$8:$E$37,MATCH(B15,Karyawan!$A$8:$A$37,0)),0))</f>
        <v/>
      </c>
      <c r="I15" s="13" t="str">
        <f aca="false">IF(B15="","",G15*H15)</f>
        <v/>
      </c>
      <c r="J15" s="12" t="str">
        <f aca="false">IF(B15="","",SUMIFS('Absensi Harian'!$D$4:$D$153,'Absensi Harian'!$B$4:$B$153,B15,'Absensi Harian'!$A$4:$A$153,"&gt;="&amp;E15,'Absensi Harian'!$A$4:$A$153,"&lt;="&amp;F15,'Absensi Harian'!$C$4:$C$153,"Ya"))</f>
        <v/>
      </c>
      <c r="K15" s="12" t="str">
        <f aca="false">IF(B15="","",IFERROR(INDEX(Karyawan!$F$8:$F$37,MATCH(B15,Karyawan!$A$8:$A$37,0)),0))</f>
        <v/>
      </c>
      <c r="L15" s="13" t="str">
        <f aca="false">IF(B15="","",J15*K15)</f>
        <v/>
      </c>
      <c r="M15" s="13" t="str">
        <f aca="false">IF(B15="","",IFERROR(INDEX(Karyawan!$H$8:$H$37,MATCH(B15,Karyawan!$A$8:$A$37,0)),0))</f>
        <v/>
      </c>
      <c r="N15" s="17"/>
      <c r="O15" s="17"/>
      <c r="P15" s="19" t="str">
        <f aca="false">IF(B15="","",IFERROR(INDEX(Karyawan!$J$8:$J$37,MATCH(B15,Karyawan!$A$8:$A$37,0)),0))</f>
        <v/>
      </c>
      <c r="Q15" s="13" t="str">
        <f aca="false">IF(B15="","",MAX(0,O15-N15)*P15)</f>
        <v/>
      </c>
      <c r="R15" s="13" t="str">
        <f aca="false">IF(B15="","",IF(D15="Bulanan",M15+Q15,I15+L15))</f>
        <v/>
      </c>
      <c r="S15" s="17"/>
      <c r="T15" s="17"/>
      <c r="U15" s="17"/>
      <c r="V15" s="13" t="str">
        <f aca="false">IF(B15="","",IFERROR(INDEX(Karyawan!$K$8:$K$37,MATCH(B15,Karyawan!$A$8:$A$37,0)),0)-SUMIFS($U$3:$U14,$B$3:$B14,B15))</f>
        <v/>
      </c>
      <c r="W15" s="13" t="str">
        <f aca="false">IF(B15="","",V15-U15)</f>
        <v/>
      </c>
      <c r="X15" s="13" t="str">
        <f aca="false">IF(B15="","",R15-S15-T15-U15)</f>
        <v/>
      </c>
    </row>
    <row r="16" customFormat="false" ht="15" hidden="false" customHeight="false" outlineLevel="0" collapsed="false">
      <c r="A16" s="12" t="str">
        <f aca="false">IF(B16="","",ROW()-2)</f>
        <v/>
      </c>
      <c r="B16" s="16"/>
      <c r="C16" s="12" t="str">
        <f aca="false">IF(B16="","",IFERROR(INDEX(Karyawan!$B$8:$B$37,MATCH(B16,Karyawan!$A$8:$A$37,0)),""))</f>
        <v/>
      </c>
      <c r="D16" s="12" t="str">
        <f aca="false">IF(B16="","",IFERROR(INDEX(Karyawan!$C$8:$C$37,MATCH(B16,Karyawan!$A$8:$A$37,0)),""))</f>
        <v/>
      </c>
      <c r="E16" s="15"/>
      <c r="F16" s="15"/>
      <c r="G16" s="12" t="str">
        <f aca="false">IF(B16="","",COUNTIFS('Absensi Harian'!$B$4:$B$153,B16,'Absensi Harian'!$A$4:$A$153,"&gt;="&amp;E16,'Absensi Harian'!$A$4:$A$153,"&lt;="&amp;F16,'Absensi Harian'!$C$4:$C$153,"Ya"))</f>
        <v/>
      </c>
      <c r="H16" s="13" t="str">
        <f aca="false">IF(B16="","",IFERROR(INDEX(Karyawan!$E$8:$E$37,MATCH(B16,Karyawan!$A$8:$A$37,0)),0))</f>
        <v/>
      </c>
      <c r="I16" s="13" t="str">
        <f aca="false">IF(B16="","",G16*H16)</f>
        <v/>
      </c>
      <c r="J16" s="12" t="str">
        <f aca="false">IF(B16="","",SUMIFS('Absensi Harian'!$D$4:$D$153,'Absensi Harian'!$B$4:$B$153,B16,'Absensi Harian'!$A$4:$A$153,"&gt;="&amp;E16,'Absensi Harian'!$A$4:$A$153,"&lt;="&amp;F16,'Absensi Harian'!$C$4:$C$153,"Ya"))</f>
        <v/>
      </c>
      <c r="K16" s="12" t="str">
        <f aca="false">IF(B16="","",IFERROR(INDEX(Karyawan!$F$8:$F$37,MATCH(B16,Karyawan!$A$8:$A$37,0)),0))</f>
        <v/>
      </c>
      <c r="L16" s="13" t="str">
        <f aca="false">IF(B16="","",J16*K16)</f>
        <v/>
      </c>
      <c r="M16" s="13" t="str">
        <f aca="false">IF(B16="","",IFERROR(INDEX(Karyawan!$H$8:$H$37,MATCH(B16,Karyawan!$A$8:$A$37,0)),0))</f>
        <v/>
      </c>
      <c r="N16" s="17"/>
      <c r="O16" s="17"/>
      <c r="P16" s="19" t="str">
        <f aca="false">IF(B16="","",IFERROR(INDEX(Karyawan!$J$8:$J$37,MATCH(B16,Karyawan!$A$8:$A$37,0)),0))</f>
        <v/>
      </c>
      <c r="Q16" s="13" t="str">
        <f aca="false">IF(B16="","",MAX(0,O16-N16)*P16)</f>
        <v/>
      </c>
      <c r="R16" s="13" t="str">
        <f aca="false">IF(B16="","",IF(D16="Bulanan",M16+Q16,I16+L16))</f>
        <v/>
      </c>
      <c r="S16" s="17"/>
      <c r="T16" s="17"/>
      <c r="U16" s="17"/>
      <c r="V16" s="13" t="str">
        <f aca="false">IF(B16="","",IFERROR(INDEX(Karyawan!$K$8:$K$37,MATCH(B16,Karyawan!$A$8:$A$37,0)),0)-SUMIFS($U$3:$U15,$B$3:$B15,B16))</f>
        <v/>
      </c>
      <c r="W16" s="13" t="str">
        <f aca="false">IF(B16="","",V16-U16)</f>
        <v/>
      </c>
      <c r="X16" s="13" t="str">
        <f aca="false">IF(B16="","",R16-S16-T16-U16)</f>
        <v/>
      </c>
    </row>
    <row r="17" customFormat="false" ht="15" hidden="false" customHeight="false" outlineLevel="0" collapsed="false">
      <c r="A17" s="12" t="str">
        <f aca="false">IF(B17="","",ROW()-2)</f>
        <v/>
      </c>
      <c r="B17" s="16"/>
      <c r="C17" s="12" t="str">
        <f aca="false">IF(B17="","",IFERROR(INDEX(Karyawan!$B$8:$B$37,MATCH(B17,Karyawan!$A$8:$A$37,0)),""))</f>
        <v/>
      </c>
      <c r="D17" s="12" t="str">
        <f aca="false">IF(B17="","",IFERROR(INDEX(Karyawan!$C$8:$C$37,MATCH(B17,Karyawan!$A$8:$A$37,0)),""))</f>
        <v/>
      </c>
      <c r="E17" s="15"/>
      <c r="F17" s="15"/>
      <c r="G17" s="12" t="str">
        <f aca="false">IF(B17="","",COUNTIFS('Absensi Harian'!$B$4:$B$153,B17,'Absensi Harian'!$A$4:$A$153,"&gt;="&amp;E17,'Absensi Harian'!$A$4:$A$153,"&lt;="&amp;F17,'Absensi Harian'!$C$4:$C$153,"Ya"))</f>
        <v/>
      </c>
      <c r="H17" s="13" t="str">
        <f aca="false">IF(B17="","",IFERROR(INDEX(Karyawan!$E$8:$E$37,MATCH(B17,Karyawan!$A$8:$A$37,0)),0))</f>
        <v/>
      </c>
      <c r="I17" s="13" t="str">
        <f aca="false">IF(B17="","",G17*H17)</f>
        <v/>
      </c>
      <c r="J17" s="12" t="str">
        <f aca="false">IF(B17="","",SUMIFS('Absensi Harian'!$D$4:$D$153,'Absensi Harian'!$B$4:$B$153,B17,'Absensi Harian'!$A$4:$A$153,"&gt;="&amp;E17,'Absensi Harian'!$A$4:$A$153,"&lt;="&amp;F17,'Absensi Harian'!$C$4:$C$153,"Ya"))</f>
        <v/>
      </c>
      <c r="K17" s="12" t="str">
        <f aca="false">IF(B17="","",IFERROR(INDEX(Karyawan!$F$8:$F$37,MATCH(B17,Karyawan!$A$8:$A$37,0)),0))</f>
        <v/>
      </c>
      <c r="L17" s="13" t="str">
        <f aca="false">IF(B17="","",J17*K17)</f>
        <v/>
      </c>
      <c r="M17" s="13" t="str">
        <f aca="false">IF(B17="","",IFERROR(INDEX(Karyawan!$H$8:$H$37,MATCH(B17,Karyawan!$A$8:$A$37,0)),0))</f>
        <v/>
      </c>
      <c r="N17" s="17"/>
      <c r="O17" s="17"/>
      <c r="P17" s="19" t="str">
        <f aca="false">IF(B17="","",IFERROR(INDEX(Karyawan!$J$8:$J$37,MATCH(B17,Karyawan!$A$8:$A$37,0)),0))</f>
        <v/>
      </c>
      <c r="Q17" s="13" t="str">
        <f aca="false">IF(B17="","",MAX(0,O17-N17)*P17)</f>
        <v/>
      </c>
      <c r="R17" s="13" t="str">
        <f aca="false">IF(B17="","",IF(D17="Bulanan",M17+Q17,I17+L17))</f>
        <v/>
      </c>
      <c r="S17" s="17"/>
      <c r="T17" s="17"/>
      <c r="U17" s="17"/>
      <c r="V17" s="13" t="str">
        <f aca="false">IF(B17="","",IFERROR(INDEX(Karyawan!$K$8:$K$37,MATCH(B17,Karyawan!$A$8:$A$37,0)),0)-SUMIFS($U$3:$U16,$B$3:$B16,B17))</f>
        <v/>
      </c>
      <c r="W17" s="13" t="str">
        <f aca="false">IF(B17="","",V17-U17)</f>
        <v/>
      </c>
      <c r="X17" s="13" t="str">
        <f aca="false">IF(B17="","",R17-S17-T17-U17)</f>
        <v/>
      </c>
    </row>
    <row r="18" customFormat="false" ht="15" hidden="false" customHeight="false" outlineLevel="0" collapsed="false">
      <c r="A18" s="12" t="str">
        <f aca="false">IF(B18="","",ROW()-2)</f>
        <v/>
      </c>
      <c r="B18" s="16"/>
      <c r="C18" s="12" t="str">
        <f aca="false">IF(B18="","",IFERROR(INDEX(Karyawan!$B$8:$B$37,MATCH(B18,Karyawan!$A$8:$A$37,0)),""))</f>
        <v/>
      </c>
      <c r="D18" s="12" t="str">
        <f aca="false">IF(B18="","",IFERROR(INDEX(Karyawan!$C$8:$C$37,MATCH(B18,Karyawan!$A$8:$A$37,0)),""))</f>
        <v/>
      </c>
      <c r="E18" s="15"/>
      <c r="F18" s="15"/>
      <c r="G18" s="12" t="str">
        <f aca="false">IF(B18="","",COUNTIFS('Absensi Harian'!$B$4:$B$153,B18,'Absensi Harian'!$A$4:$A$153,"&gt;="&amp;E18,'Absensi Harian'!$A$4:$A$153,"&lt;="&amp;F18,'Absensi Harian'!$C$4:$C$153,"Ya"))</f>
        <v/>
      </c>
      <c r="H18" s="13" t="str">
        <f aca="false">IF(B18="","",IFERROR(INDEX(Karyawan!$E$8:$E$37,MATCH(B18,Karyawan!$A$8:$A$37,0)),0))</f>
        <v/>
      </c>
      <c r="I18" s="13" t="str">
        <f aca="false">IF(B18="","",G18*H18)</f>
        <v/>
      </c>
      <c r="J18" s="12" t="str">
        <f aca="false">IF(B18="","",SUMIFS('Absensi Harian'!$D$4:$D$153,'Absensi Harian'!$B$4:$B$153,B18,'Absensi Harian'!$A$4:$A$153,"&gt;="&amp;E18,'Absensi Harian'!$A$4:$A$153,"&lt;="&amp;F18,'Absensi Harian'!$C$4:$C$153,"Ya"))</f>
        <v/>
      </c>
      <c r="K18" s="12" t="str">
        <f aca="false">IF(B18="","",IFERROR(INDEX(Karyawan!$F$8:$F$37,MATCH(B18,Karyawan!$A$8:$A$37,0)),0))</f>
        <v/>
      </c>
      <c r="L18" s="13" t="str">
        <f aca="false">IF(B18="","",J18*K18)</f>
        <v/>
      </c>
      <c r="M18" s="13" t="str">
        <f aca="false">IF(B18="","",IFERROR(INDEX(Karyawan!$H$8:$H$37,MATCH(B18,Karyawan!$A$8:$A$37,0)),0))</f>
        <v/>
      </c>
      <c r="N18" s="17"/>
      <c r="O18" s="17"/>
      <c r="P18" s="19" t="str">
        <f aca="false">IF(B18="","",IFERROR(INDEX(Karyawan!$J$8:$J$37,MATCH(B18,Karyawan!$A$8:$A$37,0)),0))</f>
        <v/>
      </c>
      <c r="Q18" s="13" t="str">
        <f aca="false">IF(B18="","",MAX(0,O18-N18)*P18)</f>
        <v/>
      </c>
      <c r="R18" s="13" t="str">
        <f aca="false">IF(B18="","",IF(D18="Bulanan",M18+Q18,I18+L18))</f>
        <v/>
      </c>
      <c r="S18" s="17"/>
      <c r="T18" s="17"/>
      <c r="U18" s="17"/>
      <c r="V18" s="13" t="str">
        <f aca="false">IF(B18="","",IFERROR(INDEX(Karyawan!$K$8:$K$37,MATCH(B18,Karyawan!$A$8:$A$37,0)),0)-SUMIFS($U$3:$U17,$B$3:$B17,B18))</f>
        <v/>
      </c>
      <c r="W18" s="13" t="str">
        <f aca="false">IF(B18="","",V18-U18)</f>
        <v/>
      </c>
      <c r="X18" s="13" t="str">
        <f aca="false">IF(B18="","",R18-S18-T18-U18)</f>
        <v/>
      </c>
    </row>
    <row r="19" customFormat="false" ht="15" hidden="false" customHeight="false" outlineLevel="0" collapsed="false">
      <c r="A19" s="12" t="str">
        <f aca="false">IF(B19="","",ROW()-2)</f>
        <v/>
      </c>
      <c r="B19" s="16"/>
      <c r="C19" s="12" t="str">
        <f aca="false">IF(B19="","",IFERROR(INDEX(Karyawan!$B$8:$B$37,MATCH(B19,Karyawan!$A$8:$A$37,0)),""))</f>
        <v/>
      </c>
      <c r="D19" s="12" t="str">
        <f aca="false">IF(B19="","",IFERROR(INDEX(Karyawan!$C$8:$C$37,MATCH(B19,Karyawan!$A$8:$A$37,0)),""))</f>
        <v/>
      </c>
      <c r="E19" s="15"/>
      <c r="F19" s="15"/>
      <c r="G19" s="12" t="str">
        <f aca="false">IF(B19="","",COUNTIFS('Absensi Harian'!$B$4:$B$153,B19,'Absensi Harian'!$A$4:$A$153,"&gt;="&amp;E19,'Absensi Harian'!$A$4:$A$153,"&lt;="&amp;F19,'Absensi Harian'!$C$4:$C$153,"Ya"))</f>
        <v/>
      </c>
      <c r="H19" s="13" t="str">
        <f aca="false">IF(B19="","",IFERROR(INDEX(Karyawan!$E$8:$E$37,MATCH(B19,Karyawan!$A$8:$A$37,0)),0))</f>
        <v/>
      </c>
      <c r="I19" s="13" t="str">
        <f aca="false">IF(B19="","",G19*H19)</f>
        <v/>
      </c>
      <c r="J19" s="12" t="str">
        <f aca="false">IF(B19="","",SUMIFS('Absensi Harian'!$D$4:$D$153,'Absensi Harian'!$B$4:$B$153,B19,'Absensi Harian'!$A$4:$A$153,"&gt;="&amp;E19,'Absensi Harian'!$A$4:$A$153,"&lt;="&amp;F19,'Absensi Harian'!$C$4:$C$153,"Ya"))</f>
        <v/>
      </c>
      <c r="K19" s="12" t="str">
        <f aca="false">IF(B19="","",IFERROR(INDEX(Karyawan!$F$8:$F$37,MATCH(B19,Karyawan!$A$8:$A$37,0)),0))</f>
        <v/>
      </c>
      <c r="L19" s="13" t="str">
        <f aca="false">IF(B19="","",J19*K19)</f>
        <v/>
      </c>
      <c r="M19" s="13" t="str">
        <f aca="false">IF(B19="","",IFERROR(INDEX(Karyawan!$H$8:$H$37,MATCH(B19,Karyawan!$A$8:$A$37,0)),0))</f>
        <v/>
      </c>
      <c r="N19" s="17"/>
      <c r="O19" s="17"/>
      <c r="P19" s="19" t="str">
        <f aca="false">IF(B19="","",IFERROR(INDEX(Karyawan!$J$8:$J$37,MATCH(B19,Karyawan!$A$8:$A$37,0)),0))</f>
        <v/>
      </c>
      <c r="Q19" s="13" t="str">
        <f aca="false">IF(B19="","",MAX(0,O19-N19)*P19)</f>
        <v/>
      </c>
      <c r="R19" s="13" t="str">
        <f aca="false">IF(B19="","",IF(D19="Bulanan",M19+Q19,I19+L19))</f>
        <v/>
      </c>
      <c r="S19" s="17"/>
      <c r="T19" s="17"/>
      <c r="U19" s="17"/>
      <c r="V19" s="13" t="str">
        <f aca="false">IF(B19="","",IFERROR(INDEX(Karyawan!$K$8:$K$37,MATCH(B19,Karyawan!$A$8:$A$37,0)),0)-SUMIFS($U$3:$U18,$B$3:$B18,B19))</f>
        <v/>
      </c>
      <c r="W19" s="13" t="str">
        <f aca="false">IF(B19="","",V19-U19)</f>
        <v/>
      </c>
      <c r="X19" s="13" t="str">
        <f aca="false">IF(B19="","",R19-S19-T19-U19)</f>
        <v/>
      </c>
    </row>
    <row r="20" customFormat="false" ht="15" hidden="false" customHeight="false" outlineLevel="0" collapsed="false">
      <c r="A20" s="12" t="str">
        <f aca="false">IF(B20="","",ROW()-2)</f>
        <v/>
      </c>
      <c r="B20" s="16"/>
      <c r="C20" s="12" t="str">
        <f aca="false">IF(B20="","",IFERROR(INDEX(Karyawan!$B$8:$B$37,MATCH(B20,Karyawan!$A$8:$A$37,0)),""))</f>
        <v/>
      </c>
      <c r="D20" s="12" t="str">
        <f aca="false">IF(B20="","",IFERROR(INDEX(Karyawan!$C$8:$C$37,MATCH(B20,Karyawan!$A$8:$A$37,0)),""))</f>
        <v/>
      </c>
      <c r="E20" s="15"/>
      <c r="F20" s="15"/>
      <c r="G20" s="12" t="str">
        <f aca="false">IF(B20="","",COUNTIFS('Absensi Harian'!$B$4:$B$153,B20,'Absensi Harian'!$A$4:$A$153,"&gt;="&amp;E20,'Absensi Harian'!$A$4:$A$153,"&lt;="&amp;F20,'Absensi Harian'!$C$4:$C$153,"Ya"))</f>
        <v/>
      </c>
      <c r="H20" s="13" t="str">
        <f aca="false">IF(B20="","",IFERROR(INDEX(Karyawan!$E$8:$E$37,MATCH(B20,Karyawan!$A$8:$A$37,0)),0))</f>
        <v/>
      </c>
      <c r="I20" s="13" t="str">
        <f aca="false">IF(B20="","",G20*H20)</f>
        <v/>
      </c>
      <c r="J20" s="12" t="str">
        <f aca="false">IF(B20="","",SUMIFS('Absensi Harian'!$D$4:$D$153,'Absensi Harian'!$B$4:$B$153,B20,'Absensi Harian'!$A$4:$A$153,"&gt;="&amp;E20,'Absensi Harian'!$A$4:$A$153,"&lt;="&amp;F20,'Absensi Harian'!$C$4:$C$153,"Ya"))</f>
        <v/>
      </c>
      <c r="K20" s="12" t="str">
        <f aca="false">IF(B20="","",IFERROR(INDEX(Karyawan!$F$8:$F$37,MATCH(B20,Karyawan!$A$8:$A$37,0)),0))</f>
        <v/>
      </c>
      <c r="L20" s="13" t="str">
        <f aca="false">IF(B20="","",J20*K20)</f>
        <v/>
      </c>
      <c r="M20" s="13" t="str">
        <f aca="false">IF(B20="","",IFERROR(INDEX(Karyawan!$H$8:$H$37,MATCH(B20,Karyawan!$A$8:$A$37,0)),0))</f>
        <v/>
      </c>
      <c r="N20" s="17"/>
      <c r="O20" s="17"/>
      <c r="P20" s="19" t="str">
        <f aca="false">IF(B20="","",IFERROR(INDEX(Karyawan!$J$8:$J$37,MATCH(B20,Karyawan!$A$8:$A$37,0)),0))</f>
        <v/>
      </c>
      <c r="Q20" s="13" t="str">
        <f aca="false">IF(B20="","",MAX(0,O20-N20)*P20)</f>
        <v/>
      </c>
      <c r="R20" s="13" t="str">
        <f aca="false">IF(B20="","",IF(D20="Bulanan",M20+Q20,I20+L20))</f>
        <v/>
      </c>
      <c r="S20" s="17"/>
      <c r="T20" s="17"/>
      <c r="U20" s="17"/>
      <c r="V20" s="13" t="str">
        <f aca="false">IF(B20="","",IFERROR(INDEX(Karyawan!$K$8:$K$37,MATCH(B20,Karyawan!$A$8:$A$37,0)),0)-SUMIFS($U$3:$U19,$B$3:$B19,B20))</f>
        <v/>
      </c>
      <c r="W20" s="13" t="str">
        <f aca="false">IF(B20="","",V20-U20)</f>
        <v/>
      </c>
      <c r="X20" s="13" t="str">
        <f aca="false">IF(B20="","",R20-S20-T20-U20)</f>
        <v/>
      </c>
    </row>
    <row r="21" customFormat="false" ht="15" hidden="false" customHeight="false" outlineLevel="0" collapsed="false">
      <c r="A21" s="12" t="str">
        <f aca="false">IF(B21="","",ROW()-2)</f>
        <v/>
      </c>
      <c r="B21" s="16"/>
      <c r="C21" s="12" t="str">
        <f aca="false">IF(B21="","",IFERROR(INDEX(Karyawan!$B$8:$B$37,MATCH(B21,Karyawan!$A$8:$A$37,0)),""))</f>
        <v/>
      </c>
      <c r="D21" s="12" t="str">
        <f aca="false">IF(B21="","",IFERROR(INDEX(Karyawan!$C$8:$C$37,MATCH(B21,Karyawan!$A$8:$A$37,0)),""))</f>
        <v/>
      </c>
      <c r="E21" s="15"/>
      <c r="F21" s="15"/>
      <c r="G21" s="12" t="str">
        <f aca="false">IF(B21="","",COUNTIFS('Absensi Harian'!$B$4:$B$153,B21,'Absensi Harian'!$A$4:$A$153,"&gt;="&amp;E21,'Absensi Harian'!$A$4:$A$153,"&lt;="&amp;F21,'Absensi Harian'!$C$4:$C$153,"Ya"))</f>
        <v/>
      </c>
      <c r="H21" s="13" t="str">
        <f aca="false">IF(B21="","",IFERROR(INDEX(Karyawan!$E$8:$E$37,MATCH(B21,Karyawan!$A$8:$A$37,0)),0))</f>
        <v/>
      </c>
      <c r="I21" s="13" t="str">
        <f aca="false">IF(B21="","",G21*H21)</f>
        <v/>
      </c>
      <c r="J21" s="12" t="str">
        <f aca="false">IF(B21="","",SUMIFS('Absensi Harian'!$D$4:$D$153,'Absensi Harian'!$B$4:$B$153,B21,'Absensi Harian'!$A$4:$A$153,"&gt;="&amp;E21,'Absensi Harian'!$A$4:$A$153,"&lt;="&amp;F21,'Absensi Harian'!$C$4:$C$153,"Ya"))</f>
        <v/>
      </c>
      <c r="K21" s="12" t="str">
        <f aca="false">IF(B21="","",IFERROR(INDEX(Karyawan!$F$8:$F$37,MATCH(B21,Karyawan!$A$8:$A$37,0)),0))</f>
        <v/>
      </c>
      <c r="L21" s="13" t="str">
        <f aca="false">IF(B21="","",J21*K21)</f>
        <v/>
      </c>
      <c r="M21" s="13" t="str">
        <f aca="false">IF(B21="","",IFERROR(INDEX(Karyawan!$H$8:$H$37,MATCH(B21,Karyawan!$A$8:$A$37,0)),0))</f>
        <v/>
      </c>
      <c r="N21" s="17"/>
      <c r="O21" s="17"/>
      <c r="P21" s="19" t="str">
        <f aca="false">IF(B21="","",IFERROR(INDEX(Karyawan!$J$8:$J$37,MATCH(B21,Karyawan!$A$8:$A$37,0)),0))</f>
        <v/>
      </c>
      <c r="Q21" s="13" t="str">
        <f aca="false">IF(B21="","",MAX(0,O21-N21)*P21)</f>
        <v/>
      </c>
      <c r="R21" s="13" t="str">
        <f aca="false">IF(B21="","",IF(D21="Bulanan",M21+Q21,I21+L21))</f>
        <v/>
      </c>
      <c r="S21" s="17"/>
      <c r="T21" s="17"/>
      <c r="U21" s="17"/>
      <c r="V21" s="13" t="str">
        <f aca="false">IF(B21="","",IFERROR(INDEX(Karyawan!$K$8:$K$37,MATCH(B21,Karyawan!$A$8:$A$37,0)),0)-SUMIFS($U$3:$U20,$B$3:$B20,B21))</f>
        <v/>
      </c>
      <c r="W21" s="13" t="str">
        <f aca="false">IF(B21="","",V21-U21)</f>
        <v/>
      </c>
      <c r="X21" s="13" t="str">
        <f aca="false">IF(B21="","",R21-S21-T21-U21)</f>
        <v/>
      </c>
    </row>
    <row r="22" customFormat="false" ht="15" hidden="false" customHeight="false" outlineLevel="0" collapsed="false">
      <c r="A22" s="12" t="str">
        <f aca="false">IF(B22="","",ROW()-2)</f>
        <v/>
      </c>
      <c r="B22" s="16"/>
      <c r="C22" s="12" t="str">
        <f aca="false">IF(B22="","",IFERROR(INDEX(Karyawan!$B$8:$B$37,MATCH(B22,Karyawan!$A$8:$A$37,0)),""))</f>
        <v/>
      </c>
      <c r="D22" s="12" t="str">
        <f aca="false">IF(B22="","",IFERROR(INDEX(Karyawan!$C$8:$C$37,MATCH(B22,Karyawan!$A$8:$A$37,0)),""))</f>
        <v/>
      </c>
      <c r="E22" s="15"/>
      <c r="F22" s="15"/>
      <c r="G22" s="12" t="str">
        <f aca="false">IF(B22="","",COUNTIFS('Absensi Harian'!$B$4:$B$153,B22,'Absensi Harian'!$A$4:$A$153,"&gt;="&amp;E22,'Absensi Harian'!$A$4:$A$153,"&lt;="&amp;F22,'Absensi Harian'!$C$4:$C$153,"Ya"))</f>
        <v/>
      </c>
      <c r="H22" s="13" t="str">
        <f aca="false">IF(B22="","",IFERROR(INDEX(Karyawan!$E$8:$E$37,MATCH(B22,Karyawan!$A$8:$A$37,0)),0))</f>
        <v/>
      </c>
      <c r="I22" s="13" t="str">
        <f aca="false">IF(B22="","",G22*H22)</f>
        <v/>
      </c>
      <c r="J22" s="12" t="str">
        <f aca="false">IF(B22="","",SUMIFS('Absensi Harian'!$D$4:$D$153,'Absensi Harian'!$B$4:$B$153,B22,'Absensi Harian'!$A$4:$A$153,"&gt;="&amp;E22,'Absensi Harian'!$A$4:$A$153,"&lt;="&amp;F22,'Absensi Harian'!$C$4:$C$153,"Ya"))</f>
        <v/>
      </c>
      <c r="K22" s="12" t="str">
        <f aca="false">IF(B22="","",IFERROR(INDEX(Karyawan!$F$8:$F$37,MATCH(B22,Karyawan!$A$8:$A$37,0)),0))</f>
        <v/>
      </c>
      <c r="L22" s="13" t="str">
        <f aca="false">IF(B22="","",J22*K22)</f>
        <v/>
      </c>
      <c r="M22" s="13" t="str">
        <f aca="false">IF(B22="","",IFERROR(INDEX(Karyawan!$H$8:$H$37,MATCH(B22,Karyawan!$A$8:$A$37,0)),0))</f>
        <v/>
      </c>
      <c r="N22" s="17"/>
      <c r="O22" s="17"/>
      <c r="P22" s="19" t="str">
        <f aca="false">IF(B22="","",IFERROR(INDEX(Karyawan!$J$8:$J$37,MATCH(B22,Karyawan!$A$8:$A$37,0)),0))</f>
        <v/>
      </c>
      <c r="Q22" s="13" t="str">
        <f aca="false">IF(B22="","",MAX(0,O22-N22)*P22)</f>
        <v/>
      </c>
      <c r="R22" s="13" t="str">
        <f aca="false">IF(B22="","",IF(D22="Bulanan",M22+Q22,I22+L22))</f>
        <v/>
      </c>
      <c r="S22" s="17"/>
      <c r="T22" s="17"/>
      <c r="U22" s="17"/>
      <c r="V22" s="13" t="str">
        <f aca="false">IF(B22="","",IFERROR(INDEX(Karyawan!$K$8:$K$37,MATCH(B22,Karyawan!$A$8:$A$37,0)),0)-SUMIFS($U$3:$U21,$B$3:$B21,B22))</f>
        <v/>
      </c>
      <c r="W22" s="13" t="str">
        <f aca="false">IF(B22="","",V22-U22)</f>
        <v/>
      </c>
      <c r="X22" s="13" t="str">
        <f aca="false">IF(B22="","",R22-S22-T22-U22)</f>
        <v/>
      </c>
    </row>
    <row r="23" customFormat="false" ht="15" hidden="false" customHeight="false" outlineLevel="0" collapsed="false">
      <c r="A23" s="12" t="str">
        <f aca="false">IF(B23="","",ROW()-2)</f>
        <v/>
      </c>
      <c r="B23" s="16"/>
      <c r="C23" s="12" t="str">
        <f aca="false">IF(B23="","",IFERROR(INDEX(Karyawan!$B$8:$B$37,MATCH(B23,Karyawan!$A$8:$A$37,0)),""))</f>
        <v/>
      </c>
      <c r="D23" s="12" t="str">
        <f aca="false">IF(B23="","",IFERROR(INDEX(Karyawan!$C$8:$C$37,MATCH(B23,Karyawan!$A$8:$A$37,0)),""))</f>
        <v/>
      </c>
      <c r="E23" s="15"/>
      <c r="F23" s="15"/>
      <c r="G23" s="12" t="str">
        <f aca="false">IF(B23="","",COUNTIFS('Absensi Harian'!$B$4:$B$153,B23,'Absensi Harian'!$A$4:$A$153,"&gt;="&amp;E23,'Absensi Harian'!$A$4:$A$153,"&lt;="&amp;F23,'Absensi Harian'!$C$4:$C$153,"Ya"))</f>
        <v/>
      </c>
      <c r="H23" s="13" t="str">
        <f aca="false">IF(B23="","",IFERROR(INDEX(Karyawan!$E$8:$E$37,MATCH(B23,Karyawan!$A$8:$A$37,0)),0))</f>
        <v/>
      </c>
      <c r="I23" s="13" t="str">
        <f aca="false">IF(B23="","",G23*H23)</f>
        <v/>
      </c>
      <c r="J23" s="12" t="str">
        <f aca="false">IF(B23="","",SUMIFS('Absensi Harian'!$D$4:$D$153,'Absensi Harian'!$B$4:$B$153,B23,'Absensi Harian'!$A$4:$A$153,"&gt;="&amp;E23,'Absensi Harian'!$A$4:$A$153,"&lt;="&amp;F23,'Absensi Harian'!$C$4:$C$153,"Ya"))</f>
        <v/>
      </c>
      <c r="K23" s="12" t="str">
        <f aca="false">IF(B23="","",IFERROR(INDEX(Karyawan!$F$8:$F$37,MATCH(B23,Karyawan!$A$8:$A$37,0)),0))</f>
        <v/>
      </c>
      <c r="L23" s="13" t="str">
        <f aca="false">IF(B23="","",J23*K23)</f>
        <v/>
      </c>
      <c r="M23" s="13" t="str">
        <f aca="false">IF(B23="","",IFERROR(INDEX(Karyawan!$H$8:$H$37,MATCH(B23,Karyawan!$A$8:$A$37,0)),0))</f>
        <v/>
      </c>
      <c r="N23" s="17"/>
      <c r="O23" s="17"/>
      <c r="P23" s="19" t="str">
        <f aca="false">IF(B23="","",IFERROR(INDEX(Karyawan!$J$8:$J$37,MATCH(B23,Karyawan!$A$8:$A$37,0)),0))</f>
        <v/>
      </c>
      <c r="Q23" s="13" t="str">
        <f aca="false">IF(B23="","",MAX(0,O23-N23)*P23)</f>
        <v/>
      </c>
      <c r="R23" s="13" t="str">
        <f aca="false">IF(B23="","",IF(D23="Bulanan",M23+Q23,I23+L23))</f>
        <v/>
      </c>
      <c r="S23" s="17"/>
      <c r="T23" s="17"/>
      <c r="U23" s="17"/>
      <c r="V23" s="13" t="str">
        <f aca="false">IF(B23="","",IFERROR(INDEX(Karyawan!$K$8:$K$37,MATCH(B23,Karyawan!$A$8:$A$37,0)),0)-SUMIFS($U$3:$U22,$B$3:$B22,B23))</f>
        <v/>
      </c>
      <c r="W23" s="13" t="str">
        <f aca="false">IF(B23="","",V23-U23)</f>
        <v/>
      </c>
      <c r="X23" s="13" t="str">
        <f aca="false">IF(B23="","",R23-S23-T23-U23)</f>
        <v/>
      </c>
    </row>
    <row r="24" customFormat="false" ht="15" hidden="false" customHeight="false" outlineLevel="0" collapsed="false">
      <c r="A24" s="12" t="str">
        <f aca="false">IF(B24="","",ROW()-2)</f>
        <v/>
      </c>
      <c r="B24" s="16"/>
      <c r="C24" s="12" t="str">
        <f aca="false">IF(B24="","",IFERROR(INDEX(Karyawan!$B$8:$B$37,MATCH(B24,Karyawan!$A$8:$A$37,0)),""))</f>
        <v/>
      </c>
      <c r="D24" s="12" t="str">
        <f aca="false">IF(B24="","",IFERROR(INDEX(Karyawan!$C$8:$C$37,MATCH(B24,Karyawan!$A$8:$A$37,0)),""))</f>
        <v/>
      </c>
      <c r="E24" s="15"/>
      <c r="F24" s="15"/>
      <c r="G24" s="12" t="str">
        <f aca="false">IF(B24="","",COUNTIFS('Absensi Harian'!$B$4:$B$153,B24,'Absensi Harian'!$A$4:$A$153,"&gt;="&amp;E24,'Absensi Harian'!$A$4:$A$153,"&lt;="&amp;F24,'Absensi Harian'!$C$4:$C$153,"Ya"))</f>
        <v/>
      </c>
      <c r="H24" s="13" t="str">
        <f aca="false">IF(B24="","",IFERROR(INDEX(Karyawan!$E$8:$E$37,MATCH(B24,Karyawan!$A$8:$A$37,0)),0))</f>
        <v/>
      </c>
      <c r="I24" s="13" t="str">
        <f aca="false">IF(B24="","",G24*H24)</f>
        <v/>
      </c>
      <c r="J24" s="12" t="str">
        <f aca="false">IF(B24="","",SUMIFS('Absensi Harian'!$D$4:$D$153,'Absensi Harian'!$B$4:$B$153,B24,'Absensi Harian'!$A$4:$A$153,"&gt;="&amp;E24,'Absensi Harian'!$A$4:$A$153,"&lt;="&amp;F24,'Absensi Harian'!$C$4:$C$153,"Ya"))</f>
        <v/>
      </c>
      <c r="K24" s="12" t="str">
        <f aca="false">IF(B24="","",IFERROR(INDEX(Karyawan!$F$8:$F$37,MATCH(B24,Karyawan!$A$8:$A$37,0)),0))</f>
        <v/>
      </c>
      <c r="L24" s="13" t="str">
        <f aca="false">IF(B24="","",J24*K24)</f>
        <v/>
      </c>
      <c r="M24" s="13" t="str">
        <f aca="false">IF(B24="","",IFERROR(INDEX(Karyawan!$H$8:$H$37,MATCH(B24,Karyawan!$A$8:$A$37,0)),0))</f>
        <v/>
      </c>
      <c r="N24" s="17"/>
      <c r="O24" s="17"/>
      <c r="P24" s="19" t="str">
        <f aca="false">IF(B24="","",IFERROR(INDEX(Karyawan!$J$8:$J$37,MATCH(B24,Karyawan!$A$8:$A$37,0)),0))</f>
        <v/>
      </c>
      <c r="Q24" s="13" t="str">
        <f aca="false">IF(B24="","",MAX(0,O24-N24)*P24)</f>
        <v/>
      </c>
      <c r="R24" s="13" t="str">
        <f aca="false">IF(B24="","",IF(D24="Bulanan",M24+Q24,I24+L24))</f>
        <v/>
      </c>
      <c r="S24" s="17"/>
      <c r="T24" s="17"/>
      <c r="U24" s="17"/>
      <c r="V24" s="13" t="str">
        <f aca="false">IF(B24="","",IFERROR(INDEX(Karyawan!$K$8:$K$37,MATCH(B24,Karyawan!$A$8:$A$37,0)),0)-SUMIFS($U$3:$U23,$B$3:$B23,B24))</f>
        <v/>
      </c>
      <c r="W24" s="13" t="str">
        <f aca="false">IF(B24="","",V24-U24)</f>
        <v/>
      </c>
      <c r="X24" s="13" t="str">
        <f aca="false">IF(B24="","",R24-S24-T24-U24)</f>
        <v/>
      </c>
    </row>
    <row r="25" customFormat="false" ht="15" hidden="false" customHeight="false" outlineLevel="0" collapsed="false">
      <c r="A25" s="12" t="str">
        <f aca="false">IF(B25="","",ROW()-2)</f>
        <v/>
      </c>
      <c r="B25" s="16"/>
      <c r="C25" s="12" t="str">
        <f aca="false">IF(B25="","",IFERROR(INDEX(Karyawan!$B$8:$B$37,MATCH(B25,Karyawan!$A$8:$A$37,0)),""))</f>
        <v/>
      </c>
      <c r="D25" s="12" t="str">
        <f aca="false">IF(B25="","",IFERROR(INDEX(Karyawan!$C$8:$C$37,MATCH(B25,Karyawan!$A$8:$A$37,0)),""))</f>
        <v/>
      </c>
      <c r="E25" s="15"/>
      <c r="F25" s="15"/>
      <c r="G25" s="12" t="str">
        <f aca="false">IF(B25="","",COUNTIFS('Absensi Harian'!$B$4:$B$153,B25,'Absensi Harian'!$A$4:$A$153,"&gt;="&amp;E25,'Absensi Harian'!$A$4:$A$153,"&lt;="&amp;F25,'Absensi Harian'!$C$4:$C$153,"Ya"))</f>
        <v/>
      </c>
      <c r="H25" s="13" t="str">
        <f aca="false">IF(B25="","",IFERROR(INDEX(Karyawan!$E$8:$E$37,MATCH(B25,Karyawan!$A$8:$A$37,0)),0))</f>
        <v/>
      </c>
      <c r="I25" s="13" t="str">
        <f aca="false">IF(B25="","",G25*H25)</f>
        <v/>
      </c>
      <c r="J25" s="12" t="str">
        <f aca="false">IF(B25="","",SUMIFS('Absensi Harian'!$D$4:$D$153,'Absensi Harian'!$B$4:$B$153,B25,'Absensi Harian'!$A$4:$A$153,"&gt;="&amp;E25,'Absensi Harian'!$A$4:$A$153,"&lt;="&amp;F25,'Absensi Harian'!$C$4:$C$153,"Ya"))</f>
        <v/>
      </c>
      <c r="K25" s="12" t="str">
        <f aca="false">IF(B25="","",IFERROR(INDEX(Karyawan!$F$8:$F$37,MATCH(B25,Karyawan!$A$8:$A$37,0)),0))</f>
        <v/>
      </c>
      <c r="L25" s="13" t="str">
        <f aca="false">IF(B25="","",J25*K25)</f>
        <v/>
      </c>
      <c r="M25" s="13" t="str">
        <f aca="false">IF(B25="","",IFERROR(INDEX(Karyawan!$H$8:$H$37,MATCH(B25,Karyawan!$A$8:$A$37,0)),0))</f>
        <v/>
      </c>
      <c r="N25" s="17"/>
      <c r="O25" s="17"/>
      <c r="P25" s="19" t="str">
        <f aca="false">IF(B25="","",IFERROR(INDEX(Karyawan!$J$8:$J$37,MATCH(B25,Karyawan!$A$8:$A$37,0)),0))</f>
        <v/>
      </c>
      <c r="Q25" s="13" t="str">
        <f aca="false">IF(B25="","",MAX(0,O25-N25)*P25)</f>
        <v/>
      </c>
      <c r="R25" s="13" t="str">
        <f aca="false">IF(B25="","",IF(D25="Bulanan",M25+Q25,I25+L25))</f>
        <v/>
      </c>
      <c r="S25" s="17"/>
      <c r="T25" s="17"/>
      <c r="U25" s="17"/>
      <c r="V25" s="13" t="str">
        <f aca="false">IF(B25="","",IFERROR(INDEX(Karyawan!$K$8:$K$37,MATCH(B25,Karyawan!$A$8:$A$37,0)),0)-SUMIFS($U$3:$U24,$B$3:$B24,B25))</f>
        <v/>
      </c>
      <c r="W25" s="13" t="str">
        <f aca="false">IF(B25="","",V25-U25)</f>
        <v/>
      </c>
      <c r="X25" s="13" t="str">
        <f aca="false">IF(B25="","",R25-S25-T25-U25)</f>
        <v/>
      </c>
    </row>
    <row r="26" customFormat="false" ht="15" hidden="false" customHeight="false" outlineLevel="0" collapsed="false">
      <c r="A26" s="12" t="str">
        <f aca="false">IF(B26="","",ROW()-2)</f>
        <v/>
      </c>
      <c r="B26" s="16"/>
      <c r="C26" s="12" t="str">
        <f aca="false">IF(B26="","",IFERROR(INDEX(Karyawan!$B$8:$B$37,MATCH(B26,Karyawan!$A$8:$A$37,0)),""))</f>
        <v/>
      </c>
      <c r="D26" s="12" t="str">
        <f aca="false">IF(B26="","",IFERROR(INDEX(Karyawan!$C$8:$C$37,MATCH(B26,Karyawan!$A$8:$A$37,0)),""))</f>
        <v/>
      </c>
      <c r="E26" s="15"/>
      <c r="F26" s="15"/>
      <c r="G26" s="12" t="str">
        <f aca="false">IF(B26="","",COUNTIFS('Absensi Harian'!$B$4:$B$153,B26,'Absensi Harian'!$A$4:$A$153,"&gt;="&amp;E26,'Absensi Harian'!$A$4:$A$153,"&lt;="&amp;F26,'Absensi Harian'!$C$4:$C$153,"Ya"))</f>
        <v/>
      </c>
      <c r="H26" s="13" t="str">
        <f aca="false">IF(B26="","",IFERROR(INDEX(Karyawan!$E$8:$E$37,MATCH(B26,Karyawan!$A$8:$A$37,0)),0))</f>
        <v/>
      </c>
      <c r="I26" s="13" t="str">
        <f aca="false">IF(B26="","",G26*H26)</f>
        <v/>
      </c>
      <c r="J26" s="12" t="str">
        <f aca="false">IF(B26="","",SUMIFS('Absensi Harian'!$D$4:$D$153,'Absensi Harian'!$B$4:$B$153,B26,'Absensi Harian'!$A$4:$A$153,"&gt;="&amp;E26,'Absensi Harian'!$A$4:$A$153,"&lt;="&amp;F26,'Absensi Harian'!$C$4:$C$153,"Ya"))</f>
        <v/>
      </c>
      <c r="K26" s="12" t="str">
        <f aca="false">IF(B26="","",IFERROR(INDEX(Karyawan!$F$8:$F$37,MATCH(B26,Karyawan!$A$8:$A$37,0)),0))</f>
        <v/>
      </c>
      <c r="L26" s="13" t="str">
        <f aca="false">IF(B26="","",J26*K26)</f>
        <v/>
      </c>
      <c r="M26" s="13" t="str">
        <f aca="false">IF(B26="","",IFERROR(INDEX(Karyawan!$H$8:$H$37,MATCH(B26,Karyawan!$A$8:$A$37,0)),0))</f>
        <v/>
      </c>
      <c r="N26" s="17"/>
      <c r="O26" s="17"/>
      <c r="P26" s="19" t="str">
        <f aca="false">IF(B26="","",IFERROR(INDEX(Karyawan!$J$8:$J$37,MATCH(B26,Karyawan!$A$8:$A$37,0)),0))</f>
        <v/>
      </c>
      <c r="Q26" s="13" t="str">
        <f aca="false">IF(B26="","",MAX(0,O26-N26)*P26)</f>
        <v/>
      </c>
      <c r="R26" s="13" t="str">
        <f aca="false">IF(B26="","",IF(D26="Bulanan",M26+Q26,I26+L26))</f>
        <v/>
      </c>
      <c r="S26" s="17"/>
      <c r="T26" s="17"/>
      <c r="U26" s="17"/>
      <c r="V26" s="13" t="str">
        <f aca="false">IF(B26="","",IFERROR(INDEX(Karyawan!$K$8:$K$37,MATCH(B26,Karyawan!$A$8:$A$37,0)),0)-SUMIFS($U$3:$U25,$B$3:$B25,B26))</f>
        <v/>
      </c>
      <c r="W26" s="13" t="str">
        <f aca="false">IF(B26="","",V26-U26)</f>
        <v/>
      </c>
      <c r="X26" s="13" t="str">
        <f aca="false">IF(B26="","",R26-S26-T26-U26)</f>
        <v/>
      </c>
    </row>
    <row r="27" customFormat="false" ht="15" hidden="false" customHeight="false" outlineLevel="0" collapsed="false">
      <c r="A27" s="12" t="str">
        <f aca="false">IF(B27="","",ROW()-2)</f>
        <v/>
      </c>
      <c r="B27" s="16"/>
      <c r="C27" s="12" t="str">
        <f aca="false">IF(B27="","",IFERROR(INDEX(Karyawan!$B$8:$B$37,MATCH(B27,Karyawan!$A$8:$A$37,0)),""))</f>
        <v/>
      </c>
      <c r="D27" s="12" t="str">
        <f aca="false">IF(B27="","",IFERROR(INDEX(Karyawan!$C$8:$C$37,MATCH(B27,Karyawan!$A$8:$A$37,0)),""))</f>
        <v/>
      </c>
      <c r="E27" s="15"/>
      <c r="F27" s="15"/>
      <c r="G27" s="12" t="str">
        <f aca="false">IF(B27="","",COUNTIFS('Absensi Harian'!$B$4:$B$153,B27,'Absensi Harian'!$A$4:$A$153,"&gt;="&amp;E27,'Absensi Harian'!$A$4:$A$153,"&lt;="&amp;F27,'Absensi Harian'!$C$4:$C$153,"Ya"))</f>
        <v/>
      </c>
      <c r="H27" s="13" t="str">
        <f aca="false">IF(B27="","",IFERROR(INDEX(Karyawan!$E$8:$E$37,MATCH(B27,Karyawan!$A$8:$A$37,0)),0))</f>
        <v/>
      </c>
      <c r="I27" s="13" t="str">
        <f aca="false">IF(B27="","",G27*H27)</f>
        <v/>
      </c>
      <c r="J27" s="12" t="str">
        <f aca="false">IF(B27="","",SUMIFS('Absensi Harian'!$D$4:$D$153,'Absensi Harian'!$B$4:$B$153,B27,'Absensi Harian'!$A$4:$A$153,"&gt;="&amp;E27,'Absensi Harian'!$A$4:$A$153,"&lt;="&amp;F27,'Absensi Harian'!$C$4:$C$153,"Ya"))</f>
        <v/>
      </c>
      <c r="K27" s="12" t="str">
        <f aca="false">IF(B27="","",IFERROR(INDEX(Karyawan!$F$8:$F$37,MATCH(B27,Karyawan!$A$8:$A$37,0)),0))</f>
        <v/>
      </c>
      <c r="L27" s="13" t="str">
        <f aca="false">IF(B27="","",J27*K27)</f>
        <v/>
      </c>
      <c r="M27" s="13" t="str">
        <f aca="false">IF(B27="","",IFERROR(INDEX(Karyawan!$H$8:$H$37,MATCH(B27,Karyawan!$A$8:$A$37,0)),0))</f>
        <v/>
      </c>
      <c r="N27" s="17"/>
      <c r="O27" s="17"/>
      <c r="P27" s="19" t="str">
        <f aca="false">IF(B27="","",IFERROR(INDEX(Karyawan!$J$8:$J$37,MATCH(B27,Karyawan!$A$8:$A$37,0)),0))</f>
        <v/>
      </c>
      <c r="Q27" s="13" t="str">
        <f aca="false">IF(B27="","",MAX(0,O27-N27)*P27)</f>
        <v/>
      </c>
      <c r="R27" s="13" t="str">
        <f aca="false">IF(B27="","",IF(D27="Bulanan",M27+Q27,I27+L27))</f>
        <v/>
      </c>
      <c r="S27" s="17"/>
      <c r="T27" s="17"/>
      <c r="U27" s="17"/>
      <c r="V27" s="13" t="str">
        <f aca="false">IF(B27="","",IFERROR(INDEX(Karyawan!$K$8:$K$37,MATCH(B27,Karyawan!$A$8:$A$37,0)),0)-SUMIFS($U$3:$U26,$B$3:$B26,B27))</f>
        <v/>
      </c>
      <c r="W27" s="13" t="str">
        <f aca="false">IF(B27="","",V27-U27)</f>
        <v/>
      </c>
      <c r="X27" s="13" t="str">
        <f aca="false">IF(B27="","",R27-S27-T27-U27)</f>
        <v/>
      </c>
    </row>
    <row r="28" customFormat="false" ht="15" hidden="false" customHeight="false" outlineLevel="0" collapsed="false">
      <c r="A28" s="12" t="str">
        <f aca="false">IF(B28="","",ROW()-2)</f>
        <v/>
      </c>
      <c r="B28" s="16"/>
      <c r="C28" s="12" t="str">
        <f aca="false">IF(B28="","",IFERROR(INDEX(Karyawan!$B$8:$B$37,MATCH(B28,Karyawan!$A$8:$A$37,0)),""))</f>
        <v/>
      </c>
      <c r="D28" s="12" t="str">
        <f aca="false">IF(B28="","",IFERROR(INDEX(Karyawan!$C$8:$C$37,MATCH(B28,Karyawan!$A$8:$A$37,0)),""))</f>
        <v/>
      </c>
      <c r="E28" s="15"/>
      <c r="F28" s="15"/>
      <c r="G28" s="12" t="str">
        <f aca="false">IF(B28="","",COUNTIFS('Absensi Harian'!$B$4:$B$153,B28,'Absensi Harian'!$A$4:$A$153,"&gt;="&amp;E28,'Absensi Harian'!$A$4:$A$153,"&lt;="&amp;F28,'Absensi Harian'!$C$4:$C$153,"Ya"))</f>
        <v/>
      </c>
      <c r="H28" s="13" t="str">
        <f aca="false">IF(B28="","",IFERROR(INDEX(Karyawan!$E$8:$E$37,MATCH(B28,Karyawan!$A$8:$A$37,0)),0))</f>
        <v/>
      </c>
      <c r="I28" s="13" t="str">
        <f aca="false">IF(B28="","",G28*H28)</f>
        <v/>
      </c>
      <c r="J28" s="12" t="str">
        <f aca="false">IF(B28="","",SUMIFS('Absensi Harian'!$D$4:$D$153,'Absensi Harian'!$B$4:$B$153,B28,'Absensi Harian'!$A$4:$A$153,"&gt;="&amp;E28,'Absensi Harian'!$A$4:$A$153,"&lt;="&amp;F28,'Absensi Harian'!$C$4:$C$153,"Ya"))</f>
        <v/>
      </c>
      <c r="K28" s="12" t="str">
        <f aca="false">IF(B28="","",IFERROR(INDEX(Karyawan!$F$8:$F$37,MATCH(B28,Karyawan!$A$8:$A$37,0)),0))</f>
        <v/>
      </c>
      <c r="L28" s="13" t="str">
        <f aca="false">IF(B28="","",J28*K28)</f>
        <v/>
      </c>
      <c r="M28" s="13" t="str">
        <f aca="false">IF(B28="","",IFERROR(INDEX(Karyawan!$H$8:$H$37,MATCH(B28,Karyawan!$A$8:$A$37,0)),0))</f>
        <v/>
      </c>
      <c r="N28" s="17"/>
      <c r="O28" s="17"/>
      <c r="P28" s="19" t="str">
        <f aca="false">IF(B28="","",IFERROR(INDEX(Karyawan!$J$8:$J$37,MATCH(B28,Karyawan!$A$8:$A$37,0)),0))</f>
        <v/>
      </c>
      <c r="Q28" s="13" t="str">
        <f aca="false">IF(B28="","",MAX(0,O28-N28)*P28)</f>
        <v/>
      </c>
      <c r="R28" s="13" t="str">
        <f aca="false">IF(B28="","",IF(D28="Bulanan",M28+Q28,I28+L28))</f>
        <v/>
      </c>
      <c r="S28" s="17"/>
      <c r="T28" s="17"/>
      <c r="U28" s="17"/>
      <c r="V28" s="13" t="str">
        <f aca="false">IF(B28="","",IFERROR(INDEX(Karyawan!$K$8:$K$37,MATCH(B28,Karyawan!$A$8:$A$37,0)),0)-SUMIFS($U$3:$U27,$B$3:$B27,B28))</f>
        <v/>
      </c>
      <c r="W28" s="13" t="str">
        <f aca="false">IF(B28="","",V28-U28)</f>
        <v/>
      </c>
      <c r="X28" s="13" t="str">
        <f aca="false">IF(B28="","",R28-S28-T28-U28)</f>
        <v/>
      </c>
    </row>
    <row r="29" customFormat="false" ht="15" hidden="false" customHeight="false" outlineLevel="0" collapsed="false">
      <c r="A29" s="12" t="str">
        <f aca="false">IF(B29="","",ROW()-2)</f>
        <v/>
      </c>
      <c r="B29" s="16"/>
      <c r="C29" s="12" t="str">
        <f aca="false">IF(B29="","",IFERROR(INDEX(Karyawan!$B$8:$B$37,MATCH(B29,Karyawan!$A$8:$A$37,0)),""))</f>
        <v/>
      </c>
      <c r="D29" s="12" t="str">
        <f aca="false">IF(B29="","",IFERROR(INDEX(Karyawan!$C$8:$C$37,MATCH(B29,Karyawan!$A$8:$A$37,0)),""))</f>
        <v/>
      </c>
      <c r="E29" s="15"/>
      <c r="F29" s="15"/>
      <c r="G29" s="12" t="str">
        <f aca="false">IF(B29="","",COUNTIFS('Absensi Harian'!$B$4:$B$153,B29,'Absensi Harian'!$A$4:$A$153,"&gt;="&amp;E29,'Absensi Harian'!$A$4:$A$153,"&lt;="&amp;F29,'Absensi Harian'!$C$4:$C$153,"Ya"))</f>
        <v/>
      </c>
      <c r="H29" s="13" t="str">
        <f aca="false">IF(B29="","",IFERROR(INDEX(Karyawan!$E$8:$E$37,MATCH(B29,Karyawan!$A$8:$A$37,0)),0))</f>
        <v/>
      </c>
      <c r="I29" s="13" t="str">
        <f aca="false">IF(B29="","",G29*H29)</f>
        <v/>
      </c>
      <c r="J29" s="12" t="str">
        <f aca="false">IF(B29="","",SUMIFS('Absensi Harian'!$D$4:$D$153,'Absensi Harian'!$B$4:$B$153,B29,'Absensi Harian'!$A$4:$A$153,"&gt;="&amp;E29,'Absensi Harian'!$A$4:$A$153,"&lt;="&amp;F29,'Absensi Harian'!$C$4:$C$153,"Ya"))</f>
        <v/>
      </c>
      <c r="K29" s="12" t="str">
        <f aca="false">IF(B29="","",IFERROR(INDEX(Karyawan!$F$8:$F$37,MATCH(B29,Karyawan!$A$8:$A$37,0)),0))</f>
        <v/>
      </c>
      <c r="L29" s="13" t="str">
        <f aca="false">IF(B29="","",J29*K29)</f>
        <v/>
      </c>
      <c r="M29" s="13" t="str">
        <f aca="false">IF(B29="","",IFERROR(INDEX(Karyawan!$H$8:$H$37,MATCH(B29,Karyawan!$A$8:$A$37,0)),0))</f>
        <v/>
      </c>
      <c r="N29" s="17"/>
      <c r="O29" s="17"/>
      <c r="P29" s="19" t="str">
        <f aca="false">IF(B29="","",IFERROR(INDEX(Karyawan!$J$8:$J$37,MATCH(B29,Karyawan!$A$8:$A$37,0)),0))</f>
        <v/>
      </c>
      <c r="Q29" s="13" t="str">
        <f aca="false">IF(B29="","",MAX(0,O29-N29)*P29)</f>
        <v/>
      </c>
      <c r="R29" s="13" t="str">
        <f aca="false">IF(B29="","",IF(D29="Bulanan",M29+Q29,I29+L29))</f>
        <v/>
      </c>
      <c r="S29" s="17"/>
      <c r="T29" s="17"/>
      <c r="U29" s="17"/>
      <c r="V29" s="13" t="str">
        <f aca="false">IF(B29="","",IFERROR(INDEX(Karyawan!$K$8:$K$37,MATCH(B29,Karyawan!$A$8:$A$37,0)),0)-SUMIFS($U$3:$U28,$B$3:$B28,B29))</f>
        <v/>
      </c>
      <c r="W29" s="13" t="str">
        <f aca="false">IF(B29="","",V29-U29)</f>
        <v/>
      </c>
      <c r="X29" s="13" t="str">
        <f aca="false">IF(B29="","",R29-S29-T29-U29)</f>
        <v/>
      </c>
    </row>
    <row r="30" customFormat="false" ht="15" hidden="false" customHeight="false" outlineLevel="0" collapsed="false">
      <c r="A30" s="12" t="str">
        <f aca="false">IF(B30="","",ROW()-2)</f>
        <v/>
      </c>
      <c r="B30" s="16"/>
      <c r="C30" s="12" t="str">
        <f aca="false">IF(B30="","",IFERROR(INDEX(Karyawan!$B$8:$B$37,MATCH(B30,Karyawan!$A$8:$A$37,0)),""))</f>
        <v/>
      </c>
      <c r="D30" s="12" t="str">
        <f aca="false">IF(B30="","",IFERROR(INDEX(Karyawan!$C$8:$C$37,MATCH(B30,Karyawan!$A$8:$A$37,0)),""))</f>
        <v/>
      </c>
      <c r="E30" s="15"/>
      <c r="F30" s="15"/>
      <c r="G30" s="12" t="str">
        <f aca="false">IF(B30="","",COUNTIFS('Absensi Harian'!$B$4:$B$153,B30,'Absensi Harian'!$A$4:$A$153,"&gt;="&amp;E30,'Absensi Harian'!$A$4:$A$153,"&lt;="&amp;F30,'Absensi Harian'!$C$4:$C$153,"Ya"))</f>
        <v/>
      </c>
      <c r="H30" s="13" t="str">
        <f aca="false">IF(B30="","",IFERROR(INDEX(Karyawan!$E$8:$E$37,MATCH(B30,Karyawan!$A$8:$A$37,0)),0))</f>
        <v/>
      </c>
      <c r="I30" s="13" t="str">
        <f aca="false">IF(B30="","",G30*H30)</f>
        <v/>
      </c>
      <c r="J30" s="12" t="str">
        <f aca="false">IF(B30="","",SUMIFS('Absensi Harian'!$D$4:$D$153,'Absensi Harian'!$B$4:$B$153,B30,'Absensi Harian'!$A$4:$A$153,"&gt;="&amp;E30,'Absensi Harian'!$A$4:$A$153,"&lt;="&amp;F30,'Absensi Harian'!$C$4:$C$153,"Ya"))</f>
        <v/>
      </c>
      <c r="K30" s="12" t="str">
        <f aca="false">IF(B30="","",IFERROR(INDEX(Karyawan!$F$8:$F$37,MATCH(B30,Karyawan!$A$8:$A$37,0)),0))</f>
        <v/>
      </c>
      <c r="L30" s="13" t="str">
        <f aca="false">IF(B30="","",J30*K30)</f>
        <v/>
      </c>
      <c r="M30" s="13" t="str">
        <f aca="false">IF(B30="","",IFERROR(INDEX(Karyawan!$H$8:$H$37,MATCH(B30,Karyawan!$A$8:$A$37,0)),0))</f>
        <v/>
      </c>
      <c r="N30" s="17"/>
      <c r="O30" s="17"/>
      <c r="P30" s="19" t="str">
        <f aca="false">IF(B30="","",IFERROR(INDEX(Karyawan!$J$8:$J$37,MATCH(B30,Karyawan!$A$8:$A$37,0)),0))</f>
        <v/>
      </c>
      <c r="Q30" s="13" t="str">
        <f aca="false">IF(B30="","",MAX(0,O30-N30)*P30)</f>
        <v/>
      </c>
      <c r="R30" s="13" t="str">
        <f aca="false">IF(B30="","",IF(D30="Bulanan",M30+Q30,I30+L30))</f>
        <v/>
      </c>
      <c r="S30" s="17"/>
      <c r="T30" s="17"/>
      <c r="U30" s="17"/>
      <c r="V30" s="13" t="str">
        <f aca="false">IF(B30="","",IFERROR(INDEX(Karyawan!$K$8:$K$37,MATCH(B30,Karyawan!$A$8:$A$37,0)),0)-SUMIFS($U$3:$U29,$B$3:$B29,B30))</f>
        <v/>
      </c>
      <c r="W30" s="13" t="str">
        <f aca="false">IF(B30="","",V30-U30)</f>
        <v/>
      </c>
      <c r="X30" s="13" t="str">
        <f aca="false">IF(B30="","",R30-S30-T30-U30)</f>
        <v/>
      </c>
    </row>
    <row r="31" customFormat="false" ht="15" hidden="false" customHeight="false" outlineLevel="0" collapsed="false">
      <c r="A31" s="12" t="str">
        <f aca="false">IF(B31="","",ROW()-2)</f>
        <v/>
      </c>
      <c r="B31" s="16"/>
      <c r="C31" s="12" t="str">
        <f aca="false">IF(B31="","",IFERROR(INDEX(Karyawan!$B$8:$B$37,MATCH(B31,Karyawan!$A$8:$A$37,0)),""))</f>
        <v/>
      </c>
      <c r="D31" s="12" t="str">
        <f aca="false">IF(B31="","",IFERROR(INDEX(Karyawan!$C$8:$C$37,MATCH(B31,Karyawan!$A$8:$A$37,0)),""))</f>
        <v/>
      </c>
      <c r="E31" s="15"/>
      <c r="F31" s="15"/>
      <c r="G31" s="12" t="str">
        <f aca="false">IF(B31="","",COUNTIFS('Absensi Harian'!$B$4:$B$153,B31,'Absensi Harian'!$A$4:$A$153,"&gt;="&amp;E31,'Absensi Harian'!$A$4:$A$153,"&lt;="&amp;F31,'Absensi Harian'!$C$4:$C$153,"Ya"))</f>
        <v/>
      </c>
      <c r="H31" s="13" t="str">
        <f aca="false">IF(B31="","",IFERROR(INDEX(Karyawan!$E$8:$E$37,MATCH(B31,Karyawan!$A$8:$A$37,0)),0))</f>
        <v/>
      </c>
      <c r="I31" s="13" t="str">
        <f aca="false">IF(B31="","",G31*H31)</f>
        <v/>
      </c>
      <c r="J31" s="12" t="str">
        <f aca="false">IF(B31="","",SUMIFS('Absensi Harian'!$D$4:$D$153,'Absensi Harian'!$B$4:$B$153,B31,'Absensi Harian'!$A$4:$A$153,"&gt;="&amp;E31,'Absensi Harian'!$A$4:$A$153,"&lt;="&amp;F31,'Absensi Harian'!$C$4:$C$153,"Ya"))</f>
        <v/>
      </c>
      <c r="K31" s="12" t="str">
        <f aca="false">IF(B31="","",IFERROR(INDEX(Karyawan!$F$8:$F$37,MATCH(B31,Karyawan!$A$8:$A$37,0)),0))</f>
        <v/>
      </c>
      <c r="L31" s="13" t="str">
        <f aca="false">IF(B31="","",J31*K31)</f>
        <v/>
      </c>
      <c r="M31" s="13" t="str">
        <f aca="false">IF(B31="","",IFERROR(INDEX(Karyawan!$H$8:$H$37,MATCH(B31,Karyawan!$A$8:$A$37,0)),0))</f>
        <v/>
      </c>
      <c r="N31" s="17"/>
      <c r="O31" s="17"/>
      <c r="P31" s="19" t="str">
        <f aca="false">IF(B31="","",IFERROR(INDEX(Karyawan!$J$8:$J$37,MATCH(B31,Karyawan!$A$8:$A$37,0)),0))</f>
        <v/>
      </c>
      <c r="Q31" s="13" t="str">
        <f aca="false">IF(B31="","",MAX(0,O31-N31)*P31)</f>
        <v/>
      </c>
      <c r="R31" s="13" t="str">
        <f aca="false">IF(B31="","",IF(D31="Bulanan",M31+Q31,I31+L31))</f>
        <v/>
      </c>
      <c r="S31" s="17"/>
      <c r="T31" s="17"/>
      <c r="U31" s="17"/>
      <c r="V31" s="13" t="str">
        <f aca="false">IF(B31="","",IFERROR(INDEX(Karyawan!$K$8:$K$37,MATCH(B31,Karyawan!$A$8:$A$37,0)),0)-SUMIFS($U$3:$U30,$B$3:$B30,B31))</f>
        <v/>
      </c>
      <c r="W31" s="13" t="str">
        <f aca="false">IF(B31="","",V31-U31)</f>
        <v/>
      </c>
      <c r="X31" s="13" t="str">
        <f aca="false">IF(B31="","",R31-S31-T31-U31)</f>
        <v/>
      </c>
    </row>
    <row r="32" customFormat="false" ht="15" hidden="false" customHeight="false" outlineLevel="0" collapsed="false">
      <c r="A32" s="12" t="str">
        <f aca="false">IF(B32="","",ROW()-2)</f>
        <v/>
      </c>
      <c r="B32" s="16"/>
      <c r="C32" s="12" t="str">
        <f aca="false">IF(B32="","",IFERROR(INDEX(Karyawan!$B$8:$B$37,MATCH(B32,Karyawan!$A$8:$A$37,0)),""))</f>
        <v/>
      </c>
      <c r="D32" s="12" t="str">
        <f aca="false">IF(B32="","",IFERROR(INDEX(Karyawan!$C$8:$C$37,MATCH(B32,Karyawan!$A$8:$A$37,0)),""))</f>
        <v/>
      </c>
      <c r="E32" s="15"/>
      <c r="F32" s="15"/>
      <c r="G32" s="12" t="str">
        <f aca="false">IF(B32="","",COUNTIFS('Absensi Harian'!$B$4:$B$153,B32,'Absensi Harian'!$A$4:$A$153,"&gt;="&amp;E32,'Absensi Harian'!$A$4:$A$153,"&lt;="&amp;F32,'Absensi Harian'!$C$4:$C$153,"Ya"))</f>
        <v/>
      </c>
      <c r="H32" s="13" t="str">
        <f aca="false">IF(B32="","",IFERROR(INDEX(Karyawan!$E$8:$E$37,MATCH(B32,Karyawan!$A$8:$A$37,0)),0))</f>
        <v/>
      </c>
      <c r="I32" s="13" t="str">
        <f aca="false">IF(B32="","",G32*H32)</f>
        <v/>
      </c>
      <c r="J32" s="12" t="str">
        <f aca="false">IF(B32="","",SUMIFS('Absensi Harian'!$D$4:$D$153,'Absensi Harian'!$B$4:$B$153,B32,'Absensi Harian'!$A$4:$A$153,"&gt;="&amp;E32,'Absensi Harian'!$A$4:$A$153,"&lt;="&amp;F32,'Absensi Harian'!$C$4:$C$153,"Ya"))</f>
        <v/>
      </c>
      <c r="K32" s="12" t="str">
        <f aca="false">IF(B32="","",IFERROR(INDEX(Karyawan!$F$8:$F$37,MATCH(B32,Karyawan!$A$8:$A$37,0)),0))</f>
        <v/>
      </c>
      <c r="L32" s="13" t="str">
        <f aca="false">IF(B32="","",J32*K32)</f>
        <v/>
      </c>
      <c r="M32" s="13" t="str">
        <f aca="false">IF(B32="","",IFERROR(INDEX(Karyawan!$H$8:$H$37,MATCH(B32,Karyawan!$A$8:$A$37,0)),0))</f>
        <v/>
      </c>
      <c r="N32" s="17"/>
      <c r="O32" s="17"/>
      <c r="P32" s="19" t="str">
        <f aca="false">IF(B32="","",IFERROR(INDEX(Karyawan!$J$8:$J$37,MATCH(B32,Karyawan!$A$8:$A$37,0)),0))</f>
        <v/>
      </c>
      <c r="Q32" s="13" t="str">
        <f aca="false">IF(B32="","",MAX(0,O32-N32)*P32)</f>
        <v/>
      </c>
      <c r="R32" s="13" t="str">
        <f aca="false">IF(B32="","",IF(D32="Bulanan",M32+Q32,I32+L32))</f>
        <v/>
      </c>
      <c r="S32" s="17"/>
      <c r="T32" s="17"/>
      <c r="U32" s="17"/>
      <c r="V32" s="13" t="str">
        <f aca="false">IF(B32="","",IFERROR(INDEX(Karyawan!$K$8:$K$37,MATCH(B32,Karyawan!$A$8:$A$37,0)),0)-SUMIFS($U$3:$U31,$B$3:$B31,B32))</f>
        <v/>
      </c>
      <c r="W32" s="13" t="str">
        <f aca="false">IF(B32="","",V32-U32)</f>
        <v/>
      </c>
      <c r="X32" s="13" t="str">
        <f aca="false">IF(B32="","",R32-S32-T32-U32)</f>
        <v/>
      </c>
    </row>
    <row r="33" customFormat="false" ht="15" hidden="false" customHeight="false" outlineLevel="0" collapsed="false">
      <c r="A33" s="12" t="str">
        <f aca="false">IF(B33="","",ROW()-2)</f>
        <v/>
      </c>
      <c r="B33" s="16"/>
      <c r="C33" s="12" t="str">
        <f aca="false">IF(B33="","",IFERROR(INDEX(Karyawan!$B$8:$B$37,MATCH(B33,Karyawan!$A$8:$A$37,0)),""))</f>
        <v/>
      </c>
      <c r="D33" s="12" t="str">
        <f aca="false">IF(B33="","",IFERROR(INDEX(Karyawan!$C$8:$C$37,MATCH(B33,Karyawan!$A$8:$A$37,0)),""))</f>
        <v/>
      </c>
      <c r="E33" s="15"/>
      <c r="F33" s="15"/>
      <c r="G33" s="12" t="str">
        <f aca="false">IF(B33="","",COUNTIFS('Absensi Harian'!$B$4:$B$153,B33,'Absensi Harian'!$A$4:$A$153,"&gt;="&amp;E33,'Absensi Harian'!$A$4:$A$153,"&lt;="&amp;F33,'Absensi Harian'!$C$4:$C$153,"Ya"))</f>
        <v/>
      </c>
      <c r="H33" s="13" t="str">
        <f aca="false">IF(B33="","",IFERROR(INDEX(Karyawan!$E$8:$E$37,MATCH(B33,Karyawan!$A$8:$A$37,0)),0))</f>
        <v/>
      </c>
      <c r="I33" s="13" t="str">
        <f aca="false">IF(B33="","",G33*H33)</f>
        <v/>
      </c>
      <c r="J33" s="12" t="str">
        <f aca="false">IF(B33="","",SUMIFS('Absensi Harian'!$D$4:$D$153,'Absensi Harian'!$B$4:$B$153,B33,'Absensi Harian'!$A$4:$A$153,"&gt;="&amp;E33,'Absensi Harian'!$A$4:$A$153,"&lt;="&amp;F33,'Absensi Harian'!$C$4:$C$153,"Ya"))</f>
        <v/>
      </c>
      <c r="K33" s="12" t="str">
        <f aca="false">IF(B33="","",IFERROR(INDEX(Karyawan!$F$8:$F$37,MATCH(B33,Karyawan!$A$8:$A$37,0)),0))</f>
        <v/>
      </c>
      <c r="L33" s="13" t="str">
        <f aca="false">IF(B33="","",J33*K33)</f>
        <v/>
      </c>
      <c r="M33" s="13" t="str">
        <f aca="false">IF(B33="","",IFERROR(INDEX(Karyawan!$H$8:$H$37,MATCH(B33,Karyawan!$A$8:$A$37,0)),0))</f>
        <v/>
      </c>
      <c r="N33" s="17"/>
      <c r="O33" s="17"/>
      <c r="P33" s="19" t="str">
        <f aca="false">IF(B33="","",IFERROR(INDEX(Karyawan!$J$8:$J$37,MATCH(B33,Karyawan!$A$8:$A$37,0)),0))</f>
        <v/>
      </c>
      <c r="Q33" s="13" t="str">
        <f aca="false">IF(B33="","",MAX(0,O33-N33)*P33)</f>
        <v/>
      </c>
      <c r="R33" s="13" t="str">
        <f aca="false">IF(B33="","",IF(D33="Bulanan",M33+Q33,I33+L33))</f>
        <v/>
      </c>
      <c r="S33" s="17"/>
      <c r="T33" s="17"/>
      <c r="U33" s="17"/>
      <c r="V33" s="13" t="str">
        <f aca="false">IF(B33="","",IFERROR(INDEX(Karyawan!$K$8:$K$37,MATCH(B33,Karyawan!$A$8:$A$37,0)),0)-SUMIFS($U$3:$U32,$B$3:$B32,B33))</f>
        <v/>
      </c>
      <c r="W33" s="13" t="str">
        <f aca="false">IF(B33="","",V33-U33)</f>
        <v/>
      </c>
      <c r="X33" s="13" t="str">
        <f aca="false">IF(B33="","",R33-S33-T33-U33)</f>
        <v/>
      </c>
    </row>
    <row r="34" customFormat="false" ht="15" hidden="false" customHeight="false" outlineLevel="0" collapsed="false">
      <c r="A34" s="12" t="str">
        <f aca="false">IF(B34="","",ROW()-2)</f>
        <v/>
      </c>
      <c r="B34" s="16"/>
      <c r="C34" s="12" t="str">
        <f aca="false">IF(B34="","",IFERROR(INDEX(Karyawan!$B$8:$B$37,MATCH(B34,Karyawan!$A$8:$A$37,0)),""))</f>
        <v/>
      </c>
      <c r="D34" s="12" t="str">
        <f aca="false">IF(B34="","",IFERROR(INDEX(Karyawan!$C$8:$C$37,MATCH(B34,Karyawan!$A$8:$A$37,0)),""))</f>
        <v/>
      </c>
      <c r="E34" s="15"/>
      <c r="F34" s="15"/>
      <c r="G34" s="12" t="str">
        <f aca="false">IF(B34="","",COUNTIFS('Absensi Harian'!$B$4:$B$153,B34,'Absensi Harian'!$A$4:$A$153,"&gt;="&amp;E34,'Absensi Harian'!$A$4:$A$153,"&lt;="&amp;F34,'Absensi Harian'!$C$4:$C$153,"Ya"))</f>
        <v/>
      </c>
      <c r="H34" s="13" t="str">
        <f aca="false">IF(B34="","",IFERROR(INDEX(Karyawan!$E$8:$E$37,MATCH(B34,Karyawan!$A$8:$A$37,0)),0))</f>
        <v/>
      </c>
      <c r="I34" s="13" t="str">
        <f aca="false">IF(B34="","",G34*H34)</f>
        <v/>
      </c>
      <c r="J34" s="12" t="str">
        <f aca="false">IF(B34="","",SUMIFS('Absensi Harian'!$D$4:$D$153,'Absensi Harian'!$B$4:$B$153,B34,'Absensi Harian'!$A$4:$A$153,"&gt;="&amp;E34,'Absensi Harian'!$A$4:$A$153,"&lt;="&amp;F34,'Absensi Harian'!$C$4:$C$153,"Ya"))</f>
        <v/>
      </c>
      <c r="K34" s="12" t="str">
        <f aca="false">IF(B34="","",IFERROR(INDEX(Karyawan!$F$8:$F$37,MATCH(B34,Karyawan!$A$8:$A$37,0)),0))</f>
        <v/>
      </c>
      <c r="L34" s="13" t="str">
        <f aca="false">IF(B34="","",J34*K34)</f>
        <v/>
      </c>
      <c r="M34" s="13" t="str">
        <f aca="false">IF(B34="","",IFERROR(INDEX(Karyawan!$H$8:$H$37,MATCH(B34,Karyawan!$A$8:$A$37,0)),0))</f>
        <v/>
      </c>
      <c r="N34" s="17"/>
      <c r="O34" s="17"/>
      <c r="P34" s="19" t="str">
        <f aca="false">IF(B34="","",IFERROR(INDEX(Karyawan!$J$8:$J$37,MATCH(B34,Karyawan!$A$8:$A$37,0)),0))</f>
        <v/>
      </c>
      <c r="Q34" s="13" t="str">
        <f aca="false">IF(B34="","",MAX(0,O34-N34)*P34)</f>
        <v/>
      </c>
      <c r="R34" s="13" t="str">
        <f aca="false">IF(B34="","",IF(D34="Bulanan",M34+Q34,I34+L34))</f>
        <v/>
      </c>
      <c r="S34" s="17"/>
      <c r="T34" s="17"/>
      <c r="U34" s="17"/>
      <c r="V34" s="13" t="str">
        <f aca="false">IF(B34="","",IFERROR(INDEX(Karyawan!$K$8:$K$37,MATCH(B34,Karyawan!$A$8:$A$37,0)),0)-SUMIFS($U$3:$U33,$B$3:$B33,B34))</f>
        <v/>
      </c>
      <c r="W34" s="13" t="str">
        <f aca="false">IF(B34="","",V34-U34)</f>
        <v/>
      </c>
      <c r="X34" s="13" t="str">
        <f aca="false">IF(B34="","",R34-S34-T34-U34)</f>
        <v/>
      </c>
    </row>
    <row r="35" customFormat="false" ht="15" hidden="false" customHeight="false" outlineLevel="0" collapsed="false">
      <c r="A35" s="12" t="str">
        <f aca="false">IF(B35="","",ROW()-2)</f>
        <v/>
      </c>
      <c r="B35" s="16"/>
      <c r="C35" s="12" t="str">
        <f aca="false">IF(B35="","",IFERROR(INDEX(Karyawan!$B$8:$B$37,MATCH(B35,Karyawan!$A$8:$A$37,0)),""))</f>
        <v/>
      </c>
      <c r="D35" s="12" t="str">
        <f aca="false">IF(B35="","",IFERROR(INDEX(Karyawan!$C$8:$C$37,MATCH(B35,Karyawan!$A$8:$A$37,0)),""))</f>
        <v/>
      </c>
      <c r="E35" s="15"/>
      <c r="F35" s="15"/>
      <c r="G35" s="12" t="str">
        <f aca="false">IF(B35="","",COUNTIFS('Absensi Harian'!$B$4:$B$153,B35,'Absensi Harian'!$A$4:$A$153,"&gt;="&amp;E35,'Absensi Harian'!$A$4:$A$153,"&lt;="&amp;F35,'Absensi Harian'!$C$4:$C$153,"Ya"))</f>
        <v/>
      </c>
      <c r="H35" s="13" t="str">
        <f aca="false">IF(B35="","",IFERROR(INDEX(Karyawan!$E$8:$E$37,MATCH(B35,Karyawan!$A$8:$A$37,0)),0))</f>
        <v/>
      </c>
      <c r="I35" s="13" t="str">
        <f aca="false">IF(B35="","",G35*H35)</f>
        <v/>
      </c>
      <c r="J35" s="12" t="str">
        <f aca="false">IF(B35="","",SUMIFS('Absensi Harian'!$D$4:$D$153,'Absensi Harian'!$B$4:$B$153,B35,'Absensi Harian'!$A$4:$A$153,"&gt;="&amp;E35,'Absensi Harian'!$A$4:$A$153,"&lt;="&amp;F35,'Absensi Harian'!$C$4:$C$153,"Ya"))</f>
        <v/>
      </c>
      <c r="K35" s="12" t="str">
        <f aca="false">IF(B35="","",IFERROR(INDEX(Karyawan!$F$8:$F$37,MATCH(B35,Karyawan!$A$8:$A$37,0)),0))</f>
        <v/>
      </c>
      <c r="L35" s="13" t="str">
        <f aca="false">IF(B35="","",J35*K35)</f>
        <v/>
      </c>
      <c r="M35" s="13" t="str">
        <f aca="false">IF(B35="","",IFERROR(INDEX(Karyawan!$H$8:$H$37,MATCH(B35,Karyawan!$A$8:$A$37,0)),0))</f>
        <v/>
      </c>
      <c r="N35" s="17"/>
      <c r="O35" s="17"/>
      <c r="P35" s="19" t="str">
        <f aca="false">IF(B35="","",IFERROR(INDEX(Karyawan!$J$8:$J$37,MATCH(B35,Karyawan!$A$8:$A$37,0)),0))</f>
        <v/>
      </c>
      <c r="Q35" s="13" t="str">
        <f aca="false">IF(B35="","",MAX(0,O35-N35)*P35)</f>
        <v/>
      </c>
      <c r="R35" s="13" t="str">
        <f aca="false">IF(B35="","",IF(D35="Bulanan",M35+Q35,I35+L35))</f>
        <v/>
      </c>
      <c r="S35" s="17"/>
      <c r="T35" s="17"/>
      <c r="U35" s="17"/>
      <c r="V35" s="13" t="str">
        <f aca="false">IF(B35="","",IFERROR(INDEX(Karyawan!$K$8:$K$37,MATCH(B35,Karyawan!$A$8:$A$37,0)),0)-SUMIFS($U$3:$U34,$B$3:$B34,B35))</f>
        <v/>
      </c>
      <c r="W35" s="13" t="str">
        <f aca="false">IF(B35="","",V35-U35)</f>
        <v/>
      </c>
      <c r="X35" s="13" t="str">
        <f aca="false">IF(B35="","",R35-S35-T35-U35)</f>
        <v/>
      </c>
    </row>
    <row r="36" customFormat="false" ht="15" hidden="false" customHeight="false" outlineLevel="0" collapsed="false">
      <c r="A36" s="12" t="str">
        <f aca="false">IF(B36="","",ROW()-2)</f>
        <v/>
      </c>
      <c r="B36" s="16"/>
      <c r="C36" s="12" t="str">
        <f aca="false">IF(B36="","",IFERROR(INDEX(Karyawan!$B$8:$B$37,MATCH(B36,Karyawan!$A$8:$A$37,0)),""))</f>
        <v/>
      </c>
      <c r="D36" s="12" t="str">
        <f aca="false">IF(B36="","",IFERROR(INDEX(Karyawan!$C$8:$C$37,MATCH(B36,Karyawan!$A$8:$A$37,0)),""))</f>
        <v/>
      </c>
      <c r="E36" s="15"/>
      <c r="F36" s="15"/>
      <c r="G36" s="12" t="str">
        <f aca="false">IF(B36="","",COUNTIFS('Absensi Harian'!$B$4:$B$153,B36,'Absensi Harian'!$A$4:$A$153,"&gt;="&amp;E36,'Absensi Harian'!$A$4:$A$153,"&lt;="&amp;F36,'Absensi Harian'!$C$4:$C$153,"Ya"))</f>
        <v/>
      </c>
      <c r="H36" s="13" t="str">
        <f aca="false">IF(B36="","",IFERROR(INDEX(Karyawan!$E$8:$E$37,MATCH(B36,Karyawan!$A$8:$A$37,0)),0))</f>
        <v/>
      </c>
      <c r="I36" s="13" t="str">
        <f aca="false">IF(B36="","",G36*H36)</f>
        <v/>
      </c>
      <c r="J36" s="12" t="str">
        <f aca="false">IF(B36="","",SUMIFS('Absensi Harian'!$D$4:$D$153,'Absensi Harian'!$B$4:$B$153,B36,'Absensi Harian'!$A$4:$A$153,"&gt;="&amp;E36,'Absensi Harian'!$A$4:$A$153,"&lt;="&amp;F36,'Absensi Harian'!$C$4:$C$153,"Ya"))</f>
        <v/>
      </c>
      <c r="K36" s="12" t="str">
        <f aca="false">IF(B36="","",IFERROR(INDEX(Karyawan!$F$8:$F$37,MATCH(B36,Karyawan!$A$8:$A$37,0)),0))</f>
        <v/>
      </c>
      <c r="L36" s="13" t="str">
        <f aca="false">IF(B36="","",J36*K36)</f>
        <v/>
      </c>
      <c r="M36" s="13" t="str">
        <f aca="false">IF(B36="","",IFERROR(INDEX(Karyawan!$H$8:$H$37,MATCH(B36,Karyawan!$A$8:$A$37,0)),0))</f>
        <v/>
      </c>
      <c r="N36" s="17"/>
      <c r="O36" s="17"/>
      <c r="P36" s="19" t="str">
        <f aca="false">IF(B36="","",IFERROR(INDEX(Karyawan!$J$8:$J$37,MATCH(B36,Karyawan!$A$8:$A$37,0)),0))</f>
        <v/>
      </c>
      <c r="Q36" s="13" t="str">
        <f aca="false">IF(B36="","",MAX(0,O36-N36)*P36)</f>
        <v/>
      </c>
      <c r="R36" s="13" t="str">
        <f aca="false">IF(B36="","",IF(D36="Bulanan",M36+Q36,I36+L36))</f>
        <v/>
      </c>
      <c r="S36" s="17"/>
      <c r="T36" s="17"/>
      <c r="U36" s="17"/>
      <c r="V36" s="13" t="str">
        <f aca="false">IF(B36="","",IFERROR(INDEX(Karyawan!$K$8:$K$37,MATCH(B36,Karyawan!$A$8:$A$37,0)),0)-SUMIFS($U$3:$U35,$B$3:$B35,B36))</f>
        <v/>
      </c>
      <c r="W36" s="13" t="str">
        <f aca="false">IF(B36="","",V36-U36)</f>
        <v/>
      </c>
      <c r="X36" s="13" t="str">
        <f aca="false">IF(B36="","",R36-S36-T36-U36)</f>
        <v/>
      </c>
    </row>
    <row r="37" customFormat="false" ht="15" hidden="false" customHeight="false" outlineLevel="0" collapsed="false">
      <c r="A37" s="12" t="str">
        <f aca="false">IF(B37="","",ROW()-2)</f>
        <v/>
      </c>
      <c r="B37" s="16"/>
      <c r="C37" s="12" t="str">
        <f aca="false">IF(B37="","",IFERROR(INDEX(Karyawan!$B$8:$B$37,MATCH(B37,Karyawan!$A$8:$A$37,0)),""))</f>
        <v/>
      </c>
      <c r="D37" s="12" t="str">
        <f aca="false">IF(B37="","",IFERROR(INDEX(Karyawan!$C$8:$C$37,MATCH(B37,Karyawan!$A$8:$A$37,0)),""))</f>
        <v/>
      </c>
      <c r="E37" s="15"/>
      <c r="F37" s="15"/>
      <c r="G37" s="12" t="str">
        <f aca="false">IF(B37="","",COUNTIFS('Absensi Harian'!$B$4:$B$153,B37,'Absensi Harian'!$A$4:$A$153,"&gt;="&amp;E37,'Absensi Harian'!$A$4:$A$153,"&lt;="&amp;F37,'Absensi Harian'!$C$4:$C$153,"Ya"))</f>
        <v/>
      </c>
      <c r="H37" s="13" t="str">
        <f aca="false">IF(B37="","",IFERROR(INDEX(Karyawan!$E$8:$E$37,MATCH(B37,Karyawan!$A$8:$A$37,0)),0))</f>
        <v/>
      </c>
      <c r="I37" s="13" t="str">
        <f aca="false">IF(B37="","",G37*H37)</f>
        <v/>
      </c>
      <c r="J37" s="12" t="str">
        <f aca="false">IF(B37="","",SUMIFS('Absensi Harian'!$D$4:$D$153,'Absensi Harian'!$B$4:$B$153,B37,'Absensi Harian'!$A$4:$A$153,"&gt;="&amp;E37,'Absensi Harian'!$A$4:$A$153,"&lt;="&amp;F37,'Absensi Harian'!$C$4:$C$153,"Ya"))</f>
        <v/>
      </c>
      <c r="K37" s="12" t="str">
        <f aca="false">IF(B37="","",IFERROR(INDEX(Karyawan!$F$8:$F$37,MATCH(B37,Karyawan!$A$8:$A$37,0)),0))</f>
        <v/>
      </c>
      <c r="L37" s="13" t="str">
        <f aca="false">IF(B37="","",J37*K37)</f>
        <v/>
      </c>
      <c r="M37" s="13" t="str">
        <f aca="false">IF(B37="","",IFERROR(INDEX(Karyawan!$H$8:$H$37,MATCH(B37,Karyawan!$A$8:$A$37,0)),0))</f>
        <v/>
      </c>
      <c r="N37" s="17"/>
      <c r="O37" s="17"/>
      <c r="P37" s="19" t="str">
        <f aca="false">IF(B37="","",IFERROR(INDEX(Karyawan!$J$8:$J$37,MATCH(B37,Karyawan!$A$8:$A$37,0)),0))</f>
        <v/>
      </c>
      <c r="Q37" s="13" t="str">
        <f aca="false">IF(B37="","",MAX(0,O37-N37)*P37)</f>
        <v/>
      </c>
      <c r="R37" s="13" t="str">
        <f aca="false">IF(B37="","",IF(D37="Bulanan",M37+Q37,I37+L37))</f>
        <v/>
      </c>
      <c r="S37" s="17"/>
      <c r="T37" s="17"/>
      <c r="U37" s="17"/>
      <c r="V37" s="13" t="str">
        <f aca="false">IF(B37="","",IFERROR(INDEX(Karyawan!$K$8:$K$37,MATCH(B37,Karyawan!$A$8:$A$37,0)),0)-SUMIFS($U$3:$U36,$B$3:$B36,B37))</f>
        <v/>
      </c>
      <c r="W37" s="13" t="str">
        <f aca="false">IF(B37="","",V37-U37)</f>
        <v/>
      </c>
      <c r="X37" s="13" t="str">
        <f aca="false">IF(B37="","",R37-S37-T37-U37)</f>
        <v/>
      </c>
    </row>
    <row r="38" customFormat="false" ht="15" hidden="false" customHeight="false" outlineLevel="0" collapsed="false">
      <c r="A38" s="12" t="str">
        <f aca="false">IF(B38="","",ROW()-2)</f>
        <v/>
      </c>
      <c r="B38" s="16"/>
      <c r="C38" s="12" t="str">
        <f aca="false">IF(B38="","",IFERROR(INDEX(Karyawan!$B$8:$B$37,MATCH(B38,Karyawan!$A$8:$A$37,0)),""))</f>
        <v/>
      </c>
      <c r="D38" s="12" t="str">
        <f aca="false">IF(B38="","",IFERROR(INDEX(Karyawan!$C$8:$C$37,MATCH(B38,Karyawan!$A$8:$A$37,0)),""))</f>
        <v/>
      </c>
      <c r="E38" s="15"/>
      <c r="F38" s="15"/>
      <c r="G38" s="12" t="str">
        <f aca="false">IF(B38="","",COUNTIFS('Absensi Harian'!$B$4:$B$153,B38,'Absensi Harian'!$A$4:$A$153,"&gt;="&amp;E38,'Absensi Harian'!$A$4:$A$153,"&lt;="&amp;F38,'Absensi Harian'!$C$4:$C$153,"Ya"))</f>
        <v/>
      </c>
      <c r="H38" s="13" t="str">
        <f aca="false">IF(B38="","",IFERROR(INDEX(Karyawan!$E$8:$E$37,MATCH(B38,Karyawan!$A$8:$A$37,0)),0))</f>
        <v/>
      </c>
      <c r="I38" s="13" t="str">
        <f aca="false">IF(B38="","",G38*H38)</f>
        <v/>
      </c>
      <c r="J38" s="12" t="str">
        <f aca="false">IF(B38="","",SUMIFS('Absensi Harian'!$D$4:$D$153,'Absensi Harian'!$B$4:$B$153,B38,'Absensi Harian'!$A$4:$A$153,"&gt;="&amp;E38,'Absensi Harian'!$A$4:$A$153,"&lt;="&amp;F38,'Absensi Harian'!$C$4:$C$153,"Ya"))</f>
        <v/>
      </c>
      <c r="K38" s="12" t="str">
        <f aca="false">IF(B38="","",IFERROR(INDEX(Karyawan!$F$8:$F$37,MATCH(B38,Karyawan!$A$8:$A$37,0)),0))</f>
        <v/>
      </c>
      <c r="L38" s="13" t="str">
        <f aca="false">IF(B38="","",J38*K38)</f>
        <v/>
      </c>
      <c r="M38" s="13" t="str">
        <f aca="false">IF(B38="","",IFERROR(INDEX(Karyawan!$H$8:$H$37,MATCH(B38,Karyawan!$A$8:$A$37,0)),0))</f>
        <v/>
      </c>
      <c r="N38" s="17"/>
      <c r="O38" s="17"/>
      <c r="P38" s="19" t="str">
        <f aca="false">IF(B38="","",IFERROR(INDEX(Karyawan!$J$8:$J$37,MATCH(B38,Karyawan!$A$8:$A$37,0)),0))</f>
        <v/>
      </c>
      <c r="Q38" s="13" t="str">
        <f aca="false">IF(B38="","",MAX(0,O38-N38)*P38)</f>
        <v/>
      </c>
      <c r="R38" s="13" t="str">
        <f aca="false">IF(B38="","",IF(D38="Bulanan",M38+Q38,I38+L38))</f>
        <v/>
      </c>
      <c r="S38" s="17"/>
      <c r="T38" s="17"/>
      <c r="U38" s="17"/>
      <c r="V38" s="13" t="str">
        <f aca="false">IF(B38="","",IFERROR(INDEX(Karyawan!$K$8:$K$37,MATCH(B38,Karyawan!$A$8:$A$37,0)),0)-SUMIFS($U$3:$U37,$B$3:$B37,B38))</f>
        <v/>
      </c>
      <c r="W38" s="13" t="str">
        <f aca="false">IF(B38="","",V38-U38)</f>
        <v/>
      </c>
      <c r="X38" s="13" t="str">
        <f aca="false">IF(B38="","",R38-S38-T38-U38)</f>
        <v/>
      </c>
    </row>
    <row r="39" customFormat="false" ht="15" hidden="false" customHeight="false" outlineLevel="0" collapsed="false">
      <c r="A39" s="12" t="str">
        <f aca="false">IF(B39="","",ROW()-2)</f>
        <v/>
      </c>
      <c r="B39" s="16"/>
      <c r="C39" s="12" t="str">
        <f aca="false">IF(B39="","",IFERROR(INDEX(Karyawan!$B$8:$B$37,MATCH(B39,Karyawan!$A$8:$A$37,0)),""))</f>
        <v/>
      </c>
      <c r="D39" s="12" t="str">
        <f aca="false">IF(B39="","",IFERROR(INDEX(Karyawan!$C$8:$C$37,MATCH(B39,Karyawan!$A$8:$A$37,0)),""))</f>
        <v/>
      </c>
      <c r="E39" s="15"/>
      <c r="F39" s="15"/>
      <c r="G39" s="12" t="str">
        <f aca="false">IF(B39="","",COUNTIFS('Absensi Harian'!$B$4:$B$153,B39,'Absensi Harian'!$A$4:$A$153,"&gt;="&amp;E39,'Absensi Harian'!$A$4:$A$153,"&lt;="&amp;F39,'Absensi Harian'!$C$4:$C$153,"Ya"))</f>
        <v/>
      </c>
      <c r="H39" s="13" t="str">
        <f aca="false">IF(B39="","",IFERROR(INDEX(Karyawan!$E$8:$E$37,MATCH(B39,Karyawan!$A$8:$A$37,0)),0))</f>
        <v/>
      </c>
      <c r="I39" s="13" t="str">
        <f aca="false">IF(B39="","",G39*H39)</f>
        <v/>
      </c>
      <c r="J39" s="12" t="str">
        <f aca="false">IF(B39="","",SUMIFS('Absensi Harian'!$D$4:$D$153,'Absensi Harian'!$B$4:$B$153,B39,'Absensi Harian'!$A$4:$A$153,"&gt;="&amp;E39,'Absensi Harian'!$A$4:$A$153,"&lt;="&amp;F39,'Absensi Harian'!$C$4:$C$153,"Ya"))</f>
        <v/>
      </c>
      <c r="K39" s="12" t="str">
        <f aca="false">IF(B39="","",IFERROR(INDEX(Karyawan!$F$8:$F$37,MATCH(B39,Karyawan!$A$8:$A$37,0)),0))</f>
        <v/>
      </c>
      <c r="L39" s="13" t="str">
        <f aca="false">IF(B39="","",J39*K39)</f>
        <v/>
      </c>
      <c r="M39" s="13" t="str">
        <f aca="false">IF(B39="","",IFERROR(INDEX(Karyawan!$H$8:$H$37,MATCH(B39,Karyawan!$A$8:$A$37,0)),0))</f>
        <v/>
      </c>
      <c r="N39" s="17"/>
      <c r="O39" s="17"/>
      <c r="P39" s="19" t="str">
        <f aca="false">IF(B39="","",IFERROR(INDEX(Karyawan!$J$8:$J$37,MATCH(B39,Karyawan!$A$8:$A$37,0)),0))</f>
        <v/>
      </c>
      <c r="Q39" s="13" t="str">
        <f aca="false">IF(B39="","",MAX(0,O39-N39)*P39)</f>
        <v/>
      </c>
      <c r="R39" s="13" t="str">
        <f aca="false">IF(B39="","",IF(D39="Bulanan",M39+Q39,I39+L39))</f>
        <v/>
      </c>
      <c r="S39" s="17"/>
      <c r="T39" s="17"/>
      <c r="U39" s="17"/>
      <c r="V39" s="13" t="str">
        <f aca="false">IF(B39="","",IFERROR(INDEX(Karyawan!$K$8:$K$37,MATCH(B39,Karyawan!$A$8:$A$37,0)),0)-SUMIFS($U$3:$U38,$B$3:$B38,B39))</f>
        <v/>
      </c>
      <c r="W39" s="13" t="str">
        <f aca="false">IF(B39="","",V39-U39)</f>
        <v/>
      </c>
      <c r="X39" s="13" t="str">
        <f aca="false">IF(B39="","",R39-S39-T39-U39)</f>
        <v/>
      </c>
    </row>
    <row r="40" customFormat="false" ht="15" hidden="false" customHeight="false" outlineLevel="0" collapsed="false">
      <c r="A40" s="12" t="str">
        <f aca="false">IF(B40="","",ROW()-2)</f>
        <v/>
      </c>
      <c r="B40" s="16"/>
      <c r="C40" s="12" t="str">
        <f aca="false">IF(B40="","",IFERROR(INDEX(Karyawan!$B$8:$B$37,MATCH(B40,Karyawan!$A$8:$A$37,0)),""))</f>
        <v/>
      </c>
      <c r="D40" s="12" t="str">
        <f aca="false">IF(B40="","",IFERROR(INDEX(Karyawan!$C$8:$C$37,MATCH(B40,Karyawan!$A$8:$A$37,0)),""))</f>
        <v/>
      </c>
      <c r="E40" s="15"/>
      <c r="F40" s="15"/>
      <c r="G40" s="12" t="str">
        <f aca="false">IF(B40="","",COUNTIFS('Absensi Harian'!$B$4:$B$153,B40,'Absensi Harian'!$A$4:$A$153,"&gt;="&amp;E40,'Absensi Harian'!$A$4:$A$153,"&lt;="&amp;F40,'Absensi Harian'!$C$4:$C$153,"Ya"))</f>
        <v/>
      </c>
      <c r="H40" s="13" t="str">
        <f aca="false">IF(B40="","",IFERROR(INDEX(Karyawan!$E$8:$E$37,MATCH(B40,Karyawan!$A$8:$A$37,0)),0))</f>
        <v/>
      </c>
      <c r="I40" s="13" t="str">
        <f aca="false">IF(B40="","",G40*H40)</f>
        <v/>
      </c>
      <c r="J40" s="12" t="str">
        <f aca="false">IF(B40="","",SUMIFS('Absensi Harian'!$D$4:$D$153,'Absensi Harian'!$B$4:$B$153,B40,'Absensi Harian'!$A$4:$A$153,"&gt;="&amp;E40,'Absensi Harian'!$A$4:$A$153,"&lt;="&amp;F40,'Absensi Harian'!$C$4:$C$153,"Ya"))</f>
        <v/>
      </c>
      <c r="K40" s="12" t="str">
        <f aca="false">IF(B40="","",IFERROR(INDEX(Karyawan!$F$8:$F$37,MATCH(B40,Karyawan!$A$8:$A$37,0)),0))</f>
        <v/>
      </c>
      <c r="L40" s="13" t="str">
        <f aca="false">IF(B40="","",J40*K40)</f>
        <v/>
      </c>
      <c r="M40" s="13" t="str">
        <f aca="false">IF(B40="","",IFERROR(INDEX(Karyawan!$H$8:$H$37,MATCH(B40,Karyawan!$A$8:$A$37,0)),0))</f>
        <v/>
      </c>
      <c r="N40" s="17"/>
      <c r="O40" s="17"/>
      <c r="P40" s="19" t="str">
        <f aca="false">IF(B40="","",IFERROR(INDEX(Karyawan!$J$8:$J$37,MATCH(B40,Karyawan!$A$8:$A$37,0)),0))</f>
        <v/>
      </c>
      <c r="Q40" s="13" t="str">
        <f aca="false">IF(B40="","",MAX(0,O40-N40)*P40)</f>
        <v/>
      </c>
      <c r="R40" s="13" t="str">
        <f aca="false">IF(B40="","",IF(D40="Bulanan",M40+Q40,I40+L40))</f>
        <v/>
      </c>
      <c r="S40" s="17"/>
      <c r="T40" s="17"/>
      <c r="U40" s="17"/>
      <c r="V40" s="13" t="str">
        <f aca="false">IF(B40="","",IFERROR(INDEX(Karyawan!$K$8:$K$37,MATCH(B40,Karyawan!$A$8:$A$37,0)),0)-SUMIFS($U$3:$U39,$B$3:$B39,B40))</f>
        <v/>
      </c>
      <c r="W40" s="13" t="str">
        <f aca="false">IF(B40="","",V40-U40)</f>
        <v/>
      </c>
      <c r="X40" s="13" t="str">
        <f aca="false">IF(B40="","",R40-S40-T40-U40)</f>
        <v/>
      </c>
    </row>
    <row r="41" customFormat="false" ht="15" hidden="false" customHeight="false" outlineLevel="0" collapsed="false">
      <c r="A41" s="12" t="str">
        <f aca="false">IF(B41="","",ROW()-2)</f>
        <v/>
      </c>
      <c r="B41" s="16"/>
      <c r="C41" s="12" t="str">
        <f aca="false">IF(B41="","",IFERROR(INDEX(Karyawan!$B$8:$B$37,MATCH(B41,Karyawan!$A$8:$A$37,0)),""))</f>
        <v/>
      </c>
      <c r="D41" s="12" t="str">
        <f aca="false">IF(B41="","",IFERROR(INDEX(Karyawan!$C$8:$C$37,MATCH(B41,Karyawan!$A$8:$A$37,0)),""))</f>
        <v/>
      </c>
      <c r="E41" s="15"/>
      <c r="F41" s="15"/>
      <c r="G41" s="12" t="str">
        <f aca="false">IF(B41="","",COUNTIFS('Absensi Harian'!$B$4:$B$153,B41,'Absensi Harian'!$A$4:$A$153,"&gt;="&amp;E41,'Absensi Harian'!$A$4:$A$153,"&lt;="&amp;F41,'Absensi Harian'!$C$4:$C$153,"Ya"))</f>
        <v/>
      </c>
      <c r="H41" s="13" t="str">
        <f aca="false">IF(B41="","",IFERROR(INDEX(Karyawan!$E$8:$E$37,MATCH(B41,Karyawan!$A$8:$A$37,0)),0))</f>
        <v/>
      </c>
      <c r="I41" s="13" t="str">
        <f aca="false">IF(B41="","",G41*H41)</f>
        <v/>
      </c>
      <c r="J41" s="12" t="str">
        <f aca="false">IF(B41="","",SUMIFS('Absensi Harian'!$D$4:$D$153,'Absensi Harian'!$B$4:$B$153,B41,'Absensi Harian'!$A$4:$A$153,"&gt;="&amp;E41,'Absensi Harian'!$A$4:$A$153,"&lt;="&amp;F41,'Absensi Harian'!$C$4:$C$153,"Ya"))</f>
        <v/>
      </c>
      <c r="K41" s="12" t="str">
        <f aca="false">IF(B41="","",IFERROR(INDEX(Karyawan!$F$8:$F$37,MATCH(B41,Karyawan!$A$8:$A$37,0)),0))</f>
        <v/>
      </c>
      <c r="L41" s="13" t="str">
        <f aca="false">IF(B41="","",J41*K41)</f>
        <v/>
      </c>
      <c r="M41" s="13" t="str">
        <f aca="false">IF(B41="","",IFERROR(INDEX(Karyawan!$H$8:$H$37,MATCH(B41,Karyawan!$A$8:$A$37,0)),0))</f>
        <v/>
      </c>
      <c r="N41" s="17"/>
      <c r="O41" s="17"/>
      <c r="P41" s="19" t="str">
        <f aca="false">IF(B41="","",IFERROR(INDEX(Karyawan!$J$8:$J$37,MATCH(B41,Karyawan!$A$8:$A$37,0)),0))</f>
        <v/>
      </c>
      <c r="Q41" s="13" t="str">
        <f aca="false">IF(B41="","",MAX(0,O41-N41)*P41)</f>
        <v/>
      </c>
      <c r="R41" s="13" t="str">
        <f aca="false">IF(B41="","",IF(D41="Bulanan",M41+Q41,I41+L41))</f>
        <v/>
      </c>
      <c r="S41" s="17"/>
      <c r="T41" s="17"/>
      <c r="U41" s="17"/>
      <c r="V41" s="13" t="str">
        <f aca="false">IF(B41="","",IFERROR(INDEX(Karyawan!$K$8:$K$37,MATCH(B41,Karyawan!$A$8:$A$37,0)),0)-SUMIFS($U$3:$U40,$B$3:$B40,B41))</f>
        <v/>
      </c>
      <c r="W41" s="13" t="str">
        <f aca="false">IF(B41="","",V41-U41)</f>
        <v/>
      </c>
      <c r="X41" s="13" t="str">
        <f aca="false">IF(B41="","",R41-S41-T41-U41)</f>
        <v/>
      </c>
    </row>
    <row r="42" customFormat="false" ht="15" hidden="false" customHeight="false" outlineLevel="0" collapsed="false">
      <c r="A42" s="12" t="str">
        <f aca="false">IF(B42="","",ROW()-2)</f>
        <v/>
      </c>
      <c r="B42" s="16"/>
      <c r="C42" s="12" t="str">
        <f aca="false">IF(B42="","",IFERROR(INDEX(Karyawan!$B$8:$B$37,MATCH(B42,Karyawan!$A$8:$A$37,0)),""))</f>
        <v/>
      </c>
      <c r="D42" s="12" t="str">
        <f aca="false">IF(B42="","",IFERROR(INDEX(Karyawan!$C$8:$C$37,MATCH(B42,Karyawan!$A$8:$A$37,0)),""))</f>
        <v/>
      </c>
      <c r="E42" s="15"/>
      <c r="F42" s="15"/>
      <c r="G42" s="12" t="str">
        <f aca="false">IF(B42="","",COUNTIFS('Absensi Harian'!$B$4:$B$153,B42,'Absensi Harian'!$A$4:$A$153,"&gt;="&amp;E42,'Absensi Harian'!$A$4:$A$153,"&lt;="&amp;F42,'Absensi Harian'!$C$4:$C$153,"Ya"))</f>
        <v/>
      </c>
      <c r="H42" s="13" t="str">
        <f aca="false">IF(B42="","",IFERROR(INDEX(Karyawan!$E$8:$E$37,MATCH(B42,Karyawan!$A$8:$A$37,0)),0))</f>
        <v/>
      </c>
      <c r="I42" s="13" t="str">
        <f aca="false">IF(B42="","",G42*H42)</f>
        <v/>
      </c>
      <c r="J42" s="12" t="str">
        <f aca="false">IF(B42="","",SUMIFS('Absensi Harian'!$D$4:$D$153,'Absensi Harian'!$B$4:$B$153,B42,'Absensi Harian'!$A$4:$A$153,"&gt;="&amp;E42,'Absensi Harian'!$A$4:$A$153,"&lt;="&amp;F42,'Absensi Harian'!$C$4:$C$153,"Ya"))</f>
        <v/>
      </c>
      <c r="K42" s="12" t="str">
        <f aca="false">IF(B42="","",IFERROR(INDEX(Karyawan!$F$8:$F$37,MATCH(B42,Karyawan!$A$8:$A$37,0)),0))</f>
        <v/>
      </c>
      <c r="L42" s="13" t="str">
        <f aca="false">IF(B42="","",J42*K42)</f>
        <v/>
      </c>
      <c r="M42" s="13" t="str">
        <f aca="false">IF(B42="","",IFERROR(INDEX(Karyawan!$H$8:$H$37,MATCH(B42,Karyawan!$A$8:$A$37,0)),0))</f>
        <v/>
      </c>
      <c r="N42" s="17"/>
      <c r="O42" s="17"/>
      <c r="P42" s="19" t="str">
        <f aca="false">IF(B42="","",IFERROR(INDEX(Karyawan!$J$8:$J$37,MATCH(B42,Karyawan!$A$8:$A$37,0)),0))</f>
        <v/>
      </c>
      <c r="Q42" s="13" t="str">
        <f aca="false">IF(B42="","",MAX(0,O42-N42)*P42)</f>
        <v/>
      </c>
      <c r="R42" s="13" t="str">
        <f aca="false">IF(B42="","",IF(D42="Bulanan",M42+Q42,I42+L42))</f>
        <v/>
      </c>
      <c r="S42" s="17"/>
      <c r="T42" s="17"/>
      <c r="U42" s="17"/>
      <c r="V42" s="13" t="str">
        <f aca="false">IF(B42="","",IFERROR(INDEX(Karyawan!$K$8:$K$37,MATCH(B42,Karyawan!$A$8:$A$37,0)),0)-SUMIFS($U$3:$U41,$B$3:$B41,B42))</f>
        <v/>
      </c>
      <c r="W42" s="13" t="str">
        <f aca="false">IF(B42="","",V42-U42)</f>
        <v/>
      </c>
      <c r="X42" s="13" t="str">
        <f aca="false">IF(B42="","",R42-S42-T42-U42)</f>
        <v/>
      </c>
    </row>
    <row r="43" customFormat="false" ht="15" hidden="false" customHeight="false" outlineLevel="0" collapsed="false">
      <c r="A43" s="12" t="str">
        <f aca="false">IF(B43="","",ROW()-2)</f>
        <v/>
      </c>
      <c r="B43" s="16"/>
      <c r="C43" s="12" t="str">
        <f aca="false">IF(B43="","",IFERROR(INDEX(Karyawan!$B$8:$B$37,MATCH(B43,Karyawan!$A$8:$A$37,0)),""))</f>
        <v/>
      </c>
      <c r="D43" s="12" t="str">
        <f aca="false">IF(B43="","",IFERROR(INDEX(Karyawan!$C$8:$C$37,MATCH(B43,Karyawan!$A$8:$A$37,0)),""))</f>
        <v/>
      </c>
      <c r="E43" s="15"/>
      <c r="F43" s="15"/>
      <c r="G43" s="12" t="str">
        <f aca="false">IF(B43="","",COUNTIFS('Absensi Harian'!$B$4:$B$153,B43,'Absensi Harian'!$A$4:$A$153,"&gt;="&amp;E43,'Absensi Harian'!$A$4:$A$153,"&lt;="&amp;F43,'Absensi Harian'!$C$4:$C$153,"Ya"))</f>
        <v/>
      </c>
      <c r="H43" s="13" t="str">
        <f aca="false">IF(B43="","",IFERROR(INDEX(Karyawan!$E$8:$E$37,MATCH(B43,Karyawan!$A$8:$A$37,0)),0))</f>
        <v/>
      </c>
      <c r="I43" s="13" t="str">
        <f aca="false">IF(B43="","",G43*H43)</f>
        <v/>
      </c>
      <c r="J43" s="12" t="str">
        <f aca="false">IF(B43="","",SUMIFS('Absensi Harian'!$D$4:$D$153,'Absensi Harian'!$B$4:$B$153,B43,'Absensi Harian'!$A$4:$A$153,"&gt;="&amp;E43,'Absensi Harian'!$A$4:$A$153,"&lt;="&amp;F43,'Absensi Harian'!$C$4:$C$153,"Ya"))</f>
        <v/>
      </c>
      <c r="K43" s="12" t="str">
        <f aca="false">IF(B43="","",IFERROR(INDEX(Karyawan!$F$8:$F$37,MATCH(B43,Karyawan!$A$8:$A$37,0)),0))</f>
        <v/>
      </c>
      <c r="L43" s="13" t="str">
        <f aca="false">IF(B43="","",J43*K43)</f>
        <v/>
      </c>
      <c r="M43" s="13" t="str">
        <f aca="false">IF(B43="","",IFERROR(INDEX(Karyawan!$H$8:$H$37,MATCH(B43,Karyawan!$A$8:$A$37,0)),0))</f>
        <v/>
      </c>
      <c r="N43" s="17"/>
      <c r="O43" s="17"/>
      <c r="P43" s="19" t="str">
        <f aca="false">IF(B43="","",IFERROR(INDEX(Karyawan!$J$8:$J$37,MATCH(B43,Karyawan!$A$8:$A$37,0)),0))</f>
        <v/>
      </c>
      <c r="Q43" s="13" t="str">
        <f aca="false">IF(B43="","",MAX(0,O43-N43)*P43)</f>
        <v/>
      </c>
      <c r="R43" s="13" t="str">
        <f aca="false">IF(B43="","",IF(D43="Bulanan",M43+Q43,I43+L43))</f>
        <v/>
      </c>
      <c r="S43" s="17"/>
      <c r="T43" s="17"/>
      <c r="U43" s="17"/>
      <c r="V43" s="13" t="str">
        <f aca="false">IF(B43="","",IFERROR(INDEX(Karyawan!$K$8:$K$37,MATCH(B43,Karyawan!$A$8:$A$37,0)),0)-SUMIFS($U$3:$U42,$B$3:$B42,B43))</f>
        <v/>
      </c>
      <c r="W43" s="13" t="str">
        <f aca="false">IF(B43="","",V43-U43)</f>
        <v/>
      </c>
      <c r="X43" s="13" t="str">
        <f aca="false">IF(B43="","",R43-S43-T43-U43)</f>
        <v/>
      </c>
    </row>
    <row r="44" customFormat="false" ht="15" hidden="false" customHeight="false" outlineLevel="0" collapsed="false">
      <c r="A44" s="12" t="str">
        <f aca="false">IF(B44="","",ROW()-2)</f>
        <v/>
      </c>
      <c r="B44" s="16"/>
      <c r="C44" s="12" t="str">
        <f aca="false">IF(B44="","",IFERROR(INDEX(Karyawan!$B$8:$B$37,MATCH(B44,Karyawan!$A$8:$A$37,0)),""))</f>
        <v/>
      </c>
      <c r="D44" s="12" t="str">
        <f aca="false">IF(B44="","",IFERROR(INDEX(Karyawan!$C$8:$C$37,MATCH(B44,Karyawan!$A$8:$A$37,0)),""))</f>
        <v/>
      </c>
      <c r="E44" s="15"/>
      <c r="F44" s="15"/>
      <c r="G44" s="12" t="str">
        <f aca="false">IF(B44="","",COUNTIFS('Absensi Harian'!$B$4:$B$153,B44,'Absensi Harian'!$A$4:$A$153,"&gt;="&amp;E44,'Absensi Harian'!$A$4:$A$153,"&lt;="&amp;F44,'Absensi Harian'!$C$4:$C$153,"Ya"))</f>
        <v/>
      </c>
      <c r="H44" s="13" t="str">
        <f aca="false">IF(B44="","",IFERROR(INDEX(Karyawan!$E$8:$E$37,MATCH(B44,Karyawan!$A$8:$A$37,0)),0))</f>
        <v/>
      </c>
      <c r="I44" s="13" t="str">
        <f aca="false">IF(B44="","",G44*H44)</f>
        <v/>
      </c>
      <c r="J44" s="12" t="str">
        <f aca="false">IF(B44="","",SUMIFS('Absensi Harian'!$D$4:$D$153,'Absensi Harian'!$B$4:$B$153,B44,'Absensi Harian'!$A$4:$A$153,"&gt;="&amp;E44,'Absensi Harian'!$A$4:$A$153,"&lt;="&amp;F44,'Absensi Harian'!$C$4:$C$153,"Ya"))</f>
        <v/>
      </c>
      <c r="K44" s="12" t="str">
        <f aca="false">IF(B44="","",IFERROR(INDEX(Karyawan!$F$8:$F$37,MATCH(B44,Karyawan!$A$8:$A$37,0)),0))</f>
        <v/>
      </c>
      <c r="L44" s="13" t="str">
        <f aca="false">IF(B44="","",J44*K44)</f>
        <v/>
      </c>
      <c r="M44" s="13" t="str">
        <f aca="false">IF(B44="","",IFERROR(INDEX(Karyawan!$H$8:$H$37,MATCH(B44,Karyawan!$A$8:$A$37,0)),0))</f>
        <v/>
      </c>
      <c r="N44" s="17"/>
      <c r="O44" s="17"/>
      <c r="P44" s="19" t="str">
        <f aca="false">IF(B44="","",IFERROR(INDEX(Karyawan!$J$8:$J$37,MATCH(B44,Karyawan!$A$8:$A$37,0)),0))</f>
        <v/>
      </c>
      <c r="Q44" s="13" t="str">
        <f aca="false">IF(B44="","",MAX(0,O44-N44)*P44)</f>
        <v/>
      </c>
      <c r="R44" s="13" t="str">
        <f aca="false">IF(B44="","",IF(D44="Bulanan",M44+Q44,I44+L44))</f>
        <v/>
      </c>
      <c r="S44" s="17"/>
      <c r="T44" s="17"/>
      <c r="U44" s="17"/>
      <c r="V44" s="13" t="str">
        <f aca="false">IF(B44="","",IFERROR(INDEX(Karyawan!$K$8:$K$37,MATCH(B44,Karyawan!$A$8:$A$37,0)),0)-SUMIFS($U$3:$U43,$B$3:$B43,B44))</f>
        <v/>
      </c>
      <c r="W44" s="13" t="str">
        <f aca="false">IF(B44="","",V44-U44)</f>
        <v/>
      </c>
      <c r="X44" s="13" t="str">
        <f aca="false">IF(B44="","",R44-S44-T44-U44)</f>
        <v/>
      </c>
    </row>
    <row r="45" customFormat="false" ht="15" hidden="false" customHeight="false" outlineLevel="0" collapsed="false">
      <c r="A45" s="12" t="str">
        <f aca="false">IF(B45="","",ROW()-2)</f>
        <v/>
      </c>
      <c r="B45" s="16"/>
      <c r="C45" s="12" t="str">
        <f aca="false">IF(B45="","",IFERROR(INDEX(Karyawan!$B$8:$B$37,MATCH(B45,Karyawan!$A$8:$A$37,0)),""))</f>
        <v/>
      </c>
      <c r="D45" s="12" t="str">
        <f aca="false">IF(B45="","",IFERROR(INDEX(Karyawan!$C$8:$C$37,MATCH(B45,Karyawan!$A$8:$A$37,0)),""))</f>
        <v/>
      </c>
      <c r="E45" s="15"/>
      <c r="F45" s="15"/>
      <c r="G45" s="12" t="str">
        <f aca="false">IF(B45="","",COUNTIFS('Absensi Harian'!$B$4:$B$153,B45,'Absensi Harian'!$A$4:$A$153,"&gt;="&amp;E45,'Absensi Harian'!$A$4:$A$153,"&lt;="&amp;F45,'Absensi Harian'!$C$4:$C$153,"Ya"))</f>
        <v/>
      </c>
      <c r="H45" s="13" t="str">
        <f aca="false">IF(B45="","",IFERROR(INDEX(Karyawan!$E$8:$E$37,MATCH(B45,Karyawan!$A$8:$A$37,0)),0))</f>
        <v/>
      </c>
      <c r="I45" s="13" t="str">
        <f aca="false">IF(B45="","",G45*H45)</f>
        <v/>
      </c>
      <c r="J45" s="12" t="str">
        <f aca="false">IF(B45="","",SUMIFS('Absensi Harian'!$D$4:$D$153,'Absensi Harian'!$B$4:$B$153,B45,'Absensi Harian'!$A$4:$A$153,"&gt;="&amp;E45,'Absensi Harian'!$A$4:$A$153,"&lt;="&amp;F45,'Absensi Harian'!$C$4:$C$153,"Ya"))</f>
        <v/>
      </c>
      <c r="K45" s="12" t="str">
        <f aca="false">IF(B45="","",IFERROR(INDEX(Karyawan!$F$8:$F$37,MATCH(B45,Karyawan!$A$8:$A$37,0)),0))</f>
        <v/>
      </c>
      <c r="L45" s="13" t="str">
        <f aca="false">IF(B45="","",J45*K45)</f>
        <v/>
      </c>
      <c r="M45" s="13" t="str">
        <f aca="false">IF(B45="","",IFERROR(INDEX(Karyawan!$H$8:$H$37,MATCH(B45,Karyawan!$A$8:$A$37,0)),0))</f>
        <v/>
      </c>
      <c r="N45" s="17"/>
      <c r="O45" s="17"/>
      <c r="P45" s="19" t="str">
        <f aca="false">IF(B45="","",IFERROR(INDEX(Karyawan!$J$8:$J$37,MATCH(B45,Karyawan!$A$8:$A$37,0)),0))</f>
        <v/>
      </c>
      <c r="Q45" s="13" t="str">
        <f aca="false">IF(B45="","",MAX(0,O45-N45)*P45)</f>
        <v/>
      </c>
      <c r="R45" s="13" t="str">
        <f aca="false">IF(B45="","",IF(D45="Bulanan",M45+Q45,I45+L45))</f>
        <v/>
      </c>
      <c r="S45" s="17"/>
      <c r="T45" s="17"/>
      <c r="U45" s="17"/>
      <c r="V45" s="13" t="str">
        <f aca="false">IF(B45="","",IFERROR(INDEX(Karyawan!$K$8:$K$37,MATCH(B45,Karyawan!$A$8:$A$37,0)),0)-SUMIFS($U$3:$U44,$B$3:$B44,B45))</f>
        <v/>
      </c>
      <c r="W45" s="13" t="str">
        <f aca="false">IF(B45="","",V45-U45)</f>
        <v/>
      </c>
      <c r="X45" s="13" t="str">
        <f aca="false">IF(B45="","",R45-S45-T45-U45)</f>
        <v/>
      </c>
    </row>
    <row r="46" customFormat="false" ht="15" hidden="false" customHeight="false" outlineLevel="0" collapsed="false">
      <c r="A46" s="12" t="str">
        <f aca="false">IF(B46="","",ROW()-2)</f>
        <v/>
      </c>
      <c r="B46" s="16"/>
      <c r="C46" s="12" t="str">
        <f aca="false">IF(B46="","",IFERROR(INDEX(Karyawan!$B$8:$B$37,MATCH(B46,Karyawan!$A$8:$A$37,0)),""))</f>
        <v/>
      </c>
      <c r="D46" s="12" t="str">
        <f aca="false">IF(B46="","",IFERROR(INDEX(Karyawan!$C$8:$C$37,MATCH(B46,Karyawan!$A$8:$A$37,0)),""))</f>
        <v/>
      </c>
      <c r="E46" s="15"/>
      <c r="F46" s="15"/>
      <c r="G46" s="12" t="str">
        <f aca="false">IF(B46="","",COUNTIFS('Absensi Harian'!$B$4:$B$153,B46,'Absensi Harian'!$A$4:$A$153,"&gt;="&amp;E46,'Absensi Harian'!$A$4:$A$153,"&lt;="&amp;F46,'Absensi Harian'!$C$4:$C$153,"Ya"))</f>
        <v/>
      </c>
      <c r="H46" s="13" t="str">
        <f aca="false">IF(B46="","",IFERROR(INDEX(Karyawan!$E$8:$E$37,MATCH(B46,Karyawan!$A$8:$A$37,0)),0))</f>
        <v/>
      </c>
      <c r="I46" s="13" t="str">
        <f aca="false">IF(B46="","",G46*H46)</f>
        <v/>
      </c>
      <c r="J46" s="12" t="str">
        <f aca="false">IF(B46="","",SUMIFS('Absensi Harian'!$D$4:$D$153,'Absensi Harian'!$B$4:$B$153,B46,'Absensi Harian'!$A$4:$A$153,"&gt;="&amp;E46,'Absensi Harian'!$A$4:$A$153,"&lt;="&amp;F46,'Absensi Harian'!$C$4:$C$153,"Ya"))</f>
        <v/>
      </c>
      <c r="K46" s="12" t="str">
        <f aca="false">IF(B46="","",IFERROR(INDEX(Karyawan!$F$8:$F$37,MATCH(B46,Karyawan!$A$8:$A$37,0)),0))</f>
        <v/>
      </c>
      <c r="L46" s="13" t="str">
        <f aca="false">IF(B46="","",J46*K46)</f>
        <v/>
      </c>
      <c r="M46" s="13" t="str">
        <f aca="false">IF(B46="","",IFERROR(INDEX(Karyawan!$H$8:$H$37,MATCH(B46,Karyawan!$A$8:$A$37,0)),0))</f>
        <v/>
      </c>
      <c r="N46" s="17"/>
      <c r="O46" s="17"/>
      <c r="P46" s="19" t="str">
        <f aca="false">IF(B46="","",IFERROR(INDEX(Karyawan!$J$8:$J$37,MATCH(B46,Karyawan!$A$8:$A$37,0)),0))</f>
        <v/>
      </c>
      <c r="Q46" s="13" t="str">
        <f aca="false">IF(B46="","",MAX(0,O46-N46)*P46)</f>
        <v/>
      </c>
      <c r="R46" s="13" t="str">
        <f aca="false">IF(B46="","",IF(D46="Bulanan",M46+Q46,I46+L46))</f>
        <v/>
      </c>
      <c r="S46" s="17"/>
      <c r="T46" s="17"/>
      <c r="U46" s="17"/>
      <c r="V46" s="13" t="str">
        <f aca="false">IF(B46="","",IFERROR(INDEX(Karyawan!$K$8:$K$37,MATCH(B46,Karyawan!$A$8:$A$37,0)),0)-SUMIFS($U$3:$U45,$B$3:$B45,B46))</f>
        <v/>
      </c>
      <c r="W46" s="13" t="str">
        <f aca="false">IF(B46="","",V46-U46)</f>
        <v/>
      </c>
      <c r="X46" s="13" t="str">
        <f aca="false">IF(B46="","",R46-S46-T46-U46)</f>
        <v/>
      </c>
    </row>
    <row r="47" customFormat="false" ht="15" hidden="false" customHeight="false" outlineLevel="0" collapsed="false">
      <c r="A47" s="12" t="str">
        <f aca="false">IF(B47="","",ROW()-2)</f>
        <v/>
      </c>
      <c r="B47" s="16"/>
      <c r="C47" s="12" t="str">
        <f aca="false">IF(B47="","",IFERROR(INDEX(Karyawan!$B$8:$B$37,MATCH(B47,Karyawan!$A$8:$A$37,0)),""))</f>
        <v/>
      </c>
      <c r="D47" s="12" t="str">
        <f aca="false">IF(B47="","",IFERROR(INDEX(Karyawan!$C$8:$C$37,MATCH(B47,Karyawan!$A$8:$A$37,0)),""))</f>
        <v/>
      </c>
      <c r="E47" s="15"/>
      <c r="F47" s="15"/>
      <c r="G47" s="12" t="str">
        <f aca="false">IF(B47="","",COUNTIFS('Absensi Harian'!$B$4:$B$153,B47,'Absensi Harian'!$A$4:$A$153,"&gt;="&amp;E47,'Absensi Harian'!$A$4:$A$153,"&lt;="&amp;F47,'Absensi Harian'!$C$4:$C$153,"Ya"))</f>
        <v/>
      </c>
      <c r="H47" s="13" t="str">
        <f aca="false">IF(B47="","",IFERROR(INDEX(Karyawan!$E$8:$E$37,MATCH(B47,Karyawan!$A$8:$A$37,0)),0))</f>
        <v/>
      </c>
      <c r="I47" s="13" t="str">
        <f aca="false">IF(B47="","",G47*H47)</f>
        <v/>
      </c>
      <c r="J47" s="12" t="str">
        <f aca="false">IF(B47="","",SUMIFS('Absensi Harian'!$D$4:$D$153,'Absensi Harian'!$B$4:$B$153,B47,'Absensi Harian'!$A$4:$A$153,"&gt;="&amp;E47,'Absensi Harian'!$A$4:$A$153,"&lt;="&amp;F47,'Absensi Harian'!$C$4:$C$153,"Ya"))</f>
        <v/>
      </c>
      <c r="K47" s="12" t="str">
        <f aca="false">IF(B47="","",IFERROR(INDEX(Karyawan!$F$8:$F$37,MATCH(B47,Karyawan!$A$8:$A$37,0)),0))</f>
        <v/>
      </c>
      <c r="L47" s="13" t="str">
        <f aca="false">IF(B47="","",J47*K47)</f>
        <v/>
      </c>
      <c r="M47" s="13" t="str">
        <f aca="false">IF(B47="","",IFERROR(INDEX(Karyawan!$H$8:$H$37,MATCH(B47,Karyawan!$A$8:$A$37,0)),0))</f>
        <v/>
      </c>
      <c r="N47" s="17"/>
      <c r="O47" s="17"/>
      <c r="P47" s="19" t="str">
        <f aca="false">IF(B47="","",IFERROR(INDEX(Karyawan!$J$8:$J$37,MATCH(B47,Karyawan!$A$8:$A$37,0)),0))</f>
        <v/>
      </c>
      <c r="Q47" s="13" t="str">
        <f aca="false">IF(B47="","",MAX(0,O47-N47)*P47)</f>
        <v/>
      </c>
      <c r="R47" s="13" t="str">
        <f aca="false">IF(B47="","",IF(D47="Bulanan",M47+Q47,I47+L47))</f>
        <v/>
      </c>
      <c r="S47" s="17"/>
      <c r="T47" s="17"/>
      <c r="U47" s="17"/>
      <c r="V47" s="13" t="str">
        <f aca="false">IF(B47="","",IFERROR(INDEX(Karyawan!$K$8:$K$37,MATCH(B47,Karyawan!$A$8:$A$37,0)),0)-SUMIFS($U$3:$U46,$B$3:$B46,B47))</f>
        <v/>
      </c>
      <c r="W47" s="13" t="str">
        <f aca="false">IF(B47="","",V47-U47)</f>
        <v/>
      </c>
      <c r="X47" s="13" t="str">
        <f aca="false">IF(B47="","",R47-S47-T47-U47)</f>
        <v/>
      </c>
    </row>
    <row r="48" customFormat="false" ht="15" hidden="false" customHeight="false" outlineLevel="0" collapsed="false">
      <c r="A48" s="12" t="str">
        <f aca="false">IF(B48="","",ROW()-2)</f>
        <v/>
      </c>
      <c r="B48" s="16"/>
      <c r="C48" s="12" t="str">
        <f aca="false">IF(B48="","",IFERROR(INDEX(Karyawan!$B$8:$B$37,MATCH(B48,Karyawan!$A$8:$A$37,0)),""))</f>
        <v/>
      </c>
      <c r="D48" s="12" t="str">
        <f aca="false">IF(B48="","",IFERROR(INDEX(Karyawan!$C$8:$C$37,MATCH(B48,Karyawan!$A$8:$A$37,0)),""))</f>
        <v/>
      </c>
      <c r="E48" s="15"/>
      <c r="F48" s="15"/>
      <c r="G48" s="12" t="str">
        <f aca="false">IF(B48="","",COUNTIFS('Absensi Harian'!$B$4:$B$153,B48,'Absensi Harian'!$A$4:$A$153,"&gt;="&amp;E48,'Absensi Harian'!$A$4:$A$153,"&lt;="&amp;F48,'Absensi Harian'!$C$4:$C$153,"Ya"))</f>
        <v/>
      </c>
      <c r="H48" s="13" t="str">
        <f aca="false">IF(B48="","",IFERROR(INDEX(Karyawan!$E$8:$E$37,MATCH(B48,Karyawan!$A$8:$A$37,0)),0))</f>
        <v/>
      </c>
      <c r="I48" s="13" t="str">
        <f aca="false">IF(B48="","",G48*H48)</f>
        <v/>
      </c>
      <c r="J48" s="12" t="str">
        <f aca="false">IF(B48="","",SUMIFS('Absensi Harian'!$D$4:$D$153,'Absensi Harian'!$B$4:$B$153,B48,'Absensi Harian'!$A$4:$A$153,"&gt;="&amp;E48,'Absensi Harian'!$A$4:$A$153,"&lt;="&amp;F48,'Absensi Harian'!$C$4:$C$153,"Ya"))</f>
        <v/>
      </c>
      <c r="K48" s="12" t="str">
        <f aca="false">IF(B48="","",IFERROR(INDEX(Karyawan!$F$8:$F$37,MATCH(B48,Karyawan!$A$8:$A$37,0)),0))</f>
        <v/>
      </c>
      <c r="L48" s="13" t="str">
        <f aca="false">IF(B48="","",J48*K48)</f>
        <v/>
      </c>
      <c r="M48" s="13" t="str">
        <f aca="false">IF(B48="","",IFERROR(INDEX(Karyawan!$H$8:$H$37,MATCH(B48,Karyawan!$A$8:$A$37,0)),0))</f>
        <v/>
      </c>
      <c r="N48" s="17"/>
      <c r="O48" s="17"/>
      <c r="P48" s="19" t="str">
        <f aca="false">IF(B48="","",IFERROR(INDEX(Karyawan!$J$8:$J$37,MATCH(B48,Karyawan!$A$8:$A$37,0)),0))</f>
        <v/>
      </c>
      <c r="Q48" s="13" t="str">
        <f aca="false">IF(B48="","",MAX(0,O48-N48)*P48)</f>
        <v/>
      </c>
      <c r="R48" s="13" t="str">
        <f aca="false">IF(B48="","",IF(D48="Bulanan",M48+Q48,I48+L48))</f>
        <v/>
      </c>
      <c r="S48" s="17"/>
      <c r="T48" s="17"/>
      <c r="U48" s="17"/>
      <c r="V48" s="13" t="str">
        <f aca="false">IF(B48="","",IFERROR(INDEX(Karyawan!$K$8:$K$37,MATCH(B48,Karyawan!$A$8:$A$37,0)),0)-SUMIFS($U$3:$U47,$B$3:$B47,B48))</f>
        <v/>
      </c>
      <c r="W48" s="13" t="str">
        <f aca="false">IF(B48="","",V48-U48)</f>
        <v/>
      </c>
      <c r="X48" s="13" t="str">
        <f aca="false">IF(B48="","",R48-S48-T48-U48)</f>
        <v/>
      </c>
    </row>
    <row r="49" customFormat="false" ht="15" hidden="false" customHeight="false" outlineLevel="0" collapsed="false">
      <c r="A49" s="12" t="str">
        <f aca="false">IF(B49="","",ROW()-2)</f>
        <v/>
      </c>
      <c r="B49" s="16"/>
      <c r="C49" s="12" t="str">
        <f aca="false">IF(B49="","",IFERROR(INDEX(Karyawan!$B$8:$B$37,MATCH(B49,Karyawan!$A$8:$A$37,0)),""))</f>
        <v/>
      </c>
      <c r="D49" s="12" t="str">
        <f aca="false">IF(B49="","",IFERROR(INDEX(Karyawan!$C$8:$C$37,MATCH(B49,Karyawan!$A$8:$A$37,0)),""))</f>
        <v/>
      </c>
      <c r="E49" s="15"/>
      <c r="F49" s="15"/>
      <c r="G49" s="12" t="str">
        <f aca="false">IF(B49="","",COUNTIFS('Absensi Harian'!$B$4:$B$153,B49,'Absensi Harian'!$A$4:$A$153,"&gt;="&amp;E49,'Absensi Harian'!$A$4:$A$153,"&lt;="&amp;F49,'Absensi Harian'!$C$4:$C$153,"Ya"))</f>
        <v/>
      </c>
      <c r="H49" s="13" t="str">
        <f aca="false">IF(B49="","",IFERROR(INDEX(Karyawan!$E$8:$E$37,MATCH(B49,Karyawan!$A$8:$A$37,0)),0))</f>
        <v/>
      </c>
      <c r="I49" s="13" t="str">
        <f aca="false">IF(B49="","",G49*H49)</f>
        <v/>
      </c>
      <c r="J49" s="12" t="str">
        <f aca="false">IF(B49="","",SUMIFS('Absensi Harian'!$D$4:$D$153,'Absensi Harian'!$B$4:$B$153,B49,'Absensi Harian'!$A$4:$A$153,"&gt;="&amp;E49,'Absensi Harian'!$A$4:$A$153,"&lt;="&amp;F49,'Absensi Harian'!$C$4:$C$153,"Ya"))</f>
        <v/>
      </c>
      <c r="K49" s="12" t="str">
        <f aca="false">IF(B49="","",IFERROR(INDEX(Karyawan!$F$8:$F$37,MATCH(B49,Karyawan!$A$8:$A$37,0)),0))</f>
        <v/>
      </c>
      <c r="L49" s="13" t="str">
        <f aca="false">IF(B49="","",J49*K49)</f>
        <v/>
      </c>
      <c r="M49" s="13" t="str">
        <f aca="false">IF(B49="","",IFERROR(INDEX(Karyawan!$H$8:$H$37,MATCH(B49,Karyawan!$A$8:$A$37,0)),0))</f>
        <v/>
      </c>
      <c r="N49" s="17"/>
      <c r="O49" s="17"/>
      <c r="P49" s="19" t="str">
        <f aca="false">IF(B49="","",IFERROR(INDEX(Karyawan!$J$8:$J$37,MATCH(B49,Karyawan!$A$8:$A$37,0)),0))</f>
        <v/>
      </c>
      <c r="Q49" s="13" t="str">
        <f aca="false">IF(B49="","",MAX(0,O49-N49)*P49)</f>
        <v/>
      </c>
      <c r="R49" s="13" t="str">
        <f aca="false">IF(B49="","",IF(D49="Bulanan",M49+Q49,I49+L49))</f>
        <v/>
      </c>
      <c r="S49" s="17"/>
      <c r="T49" s="17"/>
      <c r="U49" s="17"/>
      <c r="V49" s="13" t="str">
        <f aca="false">IF(B49="","",IFERROR(INDEX(Karyawan!$K$8:$K$37,MATCH(B49,Karyawan!$A$8:$A$37,0)),0)-SUMIFS($U$3:$U48,$B$3:$B48,B49))</f>
        <v/>
      </c>
      <c r="W49" s="13" t="str">
        <f aca="false">IF(B49="","",V49-U49)</f>
        <v/>
      </c>
      <c r="X49" s="13" t="str">
        <f aca="false">IF(B49="","",R49-S49-T49-U49)</f>
        <v/>
      </c>
    </row>
    <row r="50" customFormat="false" ht="15" hidden="false" customHeight="false" outlineLevel="0" collapsed="false">
      <c r="A50" s="12" t="str">
        <f aca="false">IF(B50="","",ROW()-2)</f>
        <v/>
      </c>
      <c r="B50" s="16"/>
      <c r="C50" s="12" t="str">
        <f aca="false">IF(B50="","",IFERROR(INDEX(Karyawan!$B$8:$B$37,MATCH(B50,Karyawan!$A$8:$A$37,0)),""))</f>
        <v/>
      </c>
      <c r="D50" s="12" t="str">
        <f aca="false">IF(B50="","",IFERROR(INDEX(Karyawan!$C$8:$C$37,MATCH(B50,Karyawan!$A$8:$A$37,0)),""))</f>
        <v/>
      </c>
      <c r="E50" s="15"/>
      <c r="F50" s="15"/>
      <c r="G50" s="12" t="str">
        <f aca="false">IF(B50="","",COUNTIFS('Absensi Harian'!$B$4:$B$153,B50,'Absensi Harian'!$A$4:$A$153,"&gt;="&amp;E50,'Absensi Harian'!$A$4:$A$153,"&lt;="&amp;F50,'Absensi Harian'!$C$4:$C$153,"Ya"))</f>
        <v/>
      </c>
      <c r="H50" s="13" t="str">
        <f aca="false">IF(B50="","",IFERROR(INDEX(Karyawan!$E$8:$E$37,MATCH(B50,Karyawan!$A$8:$A$37,0)),0))</f>
        <v/>
      </c>
      <c r="I50" s="13" t="str">
        <f aca="false">IF(B50="","",G50*H50)</f>
        <v/>
      </c>
      <c r="J50" s="12" t="str">
        <f aca="false">IF(B50="","",SUMIFS('Absensi Harian'!$D$4:$D$153,'Absensi Harian'!$B$4:$B$153,B50,'Absensi Harian'!$A$4:$A$153,"&gt;="&amp;E50,'Absensi Harian'!$A$4:$A$153,"&lt;="&amp;F50,'Absensi Harian'!$C$4:$C$153,"Ya"))</f>
        <v/>
      </c>
      <c r="K50" s="12" t="str">
        <f aca="false">IF(B50="","",IFERROR(INDEX(Karyawan!$F$8:$F$37,MATCH(B50,Karyawan!$A$8:$A$37,0)),0))</f>
        <v/>
      </c>
      <c r="L50" s="13" t="str">
        <f aca="false">IF(B50="","",J50*K50)</f>
        <v/>
      </c>
      <c r="M50" s="13" t="str">
        <f aca="false">IF(B50="","",IFERROR(INDEX(Karyawan!$H$8:$H$37,MATCH(B50,Karyawan!$A$8:$A$37,0)),0))</f>
        <v/>
      </c>
      <c r="N50" s="17"/>
      <c r="O50" s="17"/>
      <c r="P50" s="19" t="str">
        <f aca="false">IF(B50="","",IFERROR(INDEX(Karyawan!$J$8:$J$37,MATCH(B50,Karyawan!$A$8:$A$37,0)),0))</f>
        <v/>
      </c>
      <c r="Q50" s="13" t="str">
        <f aca="false">IF(B50="","",MAX(0,O50-N50)*P50)</f>
        <v/>
      </c>
      <c r="R50" s="13" t="str">
        <f aca="false">IF(B50="","",IF(D50="Bulanan",M50+Q50,I50+L50))</f>
        <v/>
      </c>
      <c r="S50" s="17"/>
      <c r="T50" s="17"/>
      <c r="U50" s="17"/>
      <c r="V50" s="13" t="str">
        <f aca="false">IF(B50="","",IFERROR(INDEX(Karyawan!$K$8:$K$37,MATCH(B50,Karyawan!$A$8:$A$37,0)),0)-SUMIFS($U$3:$U49,$B$3:$B49,B50))</f>
        <v/>
      </c>
      <c r="W50" s="13" t="str">
        <f aca="false">IF(B50="","",V50-U50)</f>
        <v/>
      </c>
      <c r="X50" s="13" t="str">
        <f aca="false">IF(B50="","",R50-S50-T50-U50)</f>
        <v/>
      </c>
    </row>
    <row r="51" customFormat="false" ht="15" hidden="false" customHeight="false" outlineLevel="0" collapsed="false">
      <c r="A51" s="12" t="str">
        <f aca="false">IF(B51="","",ROW()-2)</f>
        <v/>
      </c>
      <c r="B51" s="16"/>
      <c r="C51" s="12" t="str">
        <f aca="false">IF(B51="","",IFERROR(INDEX(Karyawan!$B$8:$B$37,MATCH(B51,Karyawan!$A$8:$A$37,0)),""))</f>
        <v/>
      </c>
      <c r="D51" s="12" t="str">
        <f aca="false">IF(B51="","",IFERROR(INDEX(Karyawan!$C$8:$C$37,MATCH(B51,Karyawan!$A$8:$A$37,0)),""))</f>
        <v/>
      </c>
      <c r="E51" s="15"/>
      <c r="F51" s="15"/>
      <c r="G51" s="12" t="str">
        <f aca="false">IF(B51="","",COUNTIFS('Absensi Harian'!$B$4:$B$153,B51,'Absensi Harian'!$A$4:$A$153,"&gt;="&amp;E51,'Absensi Harian'!$A$4:$A$153,"&lt;="&amp;F51,'Absensi Harian'!$C$4:$C$153,"Ya"))</f>
        <v/>
      </c>
      <c r="H51" s="13" t="str">
        <f aca="false">IF(B51="","",IFERROR(INDEX(Karyawan!$E$8:$E$37,MATCH(B51,Karyawan!$A$8:$A$37,0)),0))</f>
        <v/>
      </c>
      <c r="I51" s="13" t="str">
        <f aca="false">IF(B51="","",G51*H51)</f>
        <v/>
      </c>
      <c r="J51" s="12" t="str">
        <f aca="false">IF(B51="","",SUMIFS('Absensi Harian'!$D$4:$D$153,'Absensi Harian'!$B$4:$B$153,B51,'Absensi Harian'!$A$4:$A$153,"&gt;="&amp;E51,'Absensi Harian'!$A$4:$A$153,"&lt;="&amp;F51,'Absensi Harian'!$C$4:$C$153,"Ya"))</f>
        <v/>
      </c>
      <c r="K51" s="12" t="str">
        <f aca="false">IF(B51="","",IFERROR(INDEX(Karyawan!$F$8:$F$37,MATCH(B51,Karyawan!$A$8:$A$37,0)),0))</f>
        <v/>
      </c>
      <c r="L51" s="13" t="str">
        <f aca="false">IF(B51="","",J51*K51)</f>
        <v/>
      </c>
      <c r="M51" s="13" t="str">
        <f aca="false">IF(B51="","",IFERROR(INDEX(Karyawan!$H$8:$H$37,MATCH(B51,Karyawan!$A$8:$A$37,0)),0))</f>
        <v/>
      </c>
      <c r="N51" s="17"/>
      <c r="O51" s="17"/>
      <c r="P51" s="19" t="str">
        <f aca="false">IF(B51="","",IFERROR(INDEX(Karyawan!$J$8:$J$37,MATCH(B51,Karyawan!$A$8:$A$37,0)),0))</f>
        <v/>
      </c>
      <c r="Q51" s="13" t="str">
        <f aca="false">IF(B51="","",MAX(0,O51-N51)*P51)</f>
        <v/>
      </c>
      <c r="R51" s="13" t="str">
        <f aca="false">IF(B51="","",IF(D51="Bulanan",M51+Q51,I51+L51))</f>
        <v/>
      </c>
      <c r="S51" s="17"/>
      <c r="T51" s="17"/>
      <c r="U51" s="17"/>
      <c r="V51" s="13" t="str">
        <f aca="false">IF(B51="","",IFERROR(INDEX(Karyawan!$K$8:$K$37,MATCH(B51,Karyawan!$A$8:$A$37,0)),0)-SUMIFS($U$3:$U50,$B$3:$B50,B51))</f>
        <v/>
      </c>
      <c r="W51" s="13" t="str">
        <f aca="false">IF(B51="","",V51-U51)</f>
        <v/>
      </c>
      <c r="X51" s="13" t="str">
        <f aca="false">IF(B51="","",R51-S51-T51-U51)</f>
        <v/>
      </c>
    </row>
    <row r="52" customFormat="false" ht="15" hidden="false" customHeight="false" outlineLevel="0" collapsed="false">
      <c r="A52" s="12" t="str">
        <f aca="false">IF(B52="","",ROW()-2)</f>
        <v/>
      </c>
      <c r="B52" s="16"/>
      <c r="C52" s="12" t="str">
        <f aca="false">IF(B52="","",IFERROR(INDEX(Karyawan!$B$8:$B$37,MATCH(B52,Karyawan!$A$8:$A$37,0)),""))</f>
        <v/>
      </c>
      <c r="D52" s="12" t="str">
        <f aca="false">IF(B52="","",IFERROR(INDEX(Karyawan!$C$8:$C$37,MATCH(B52,Karyawan!$A$8:$A$37,0)),""))</f>
        <v/>
      </c>
      <c r="E52" s="15"/>
      <c r="F52" s="15"/>
      <c r="G52" s="12" t="str">
        <f aca="false">IF(B52="","",COUNTIFS('Absensi Harian'!$B$4:$B$153,B52,'Absensi Harian'!$A$4:$A$153,"&gt;="&amp;E52,'Absensi Harian'!$A$4:$A$153,"&lt;="&amp;F52,'Absensi Harian'!$C$4:$C$153,"Ya"))</f>
        <v/>
      </c>
      <c r="H52" s="13" t="str">
        <f aca="false">IF(B52="","",IFERROR(INDEX(Karyawan!$E$8:$E$37,MATCH(B52,Karyawan!$A$8:$A$37,0)),0))</f>
        <v/>
      </c>
      <c r="I52" s="13" t="str">
        <f aca="false">IF(B52="","",G52*H52)</f>
        <v/>
      </c>
      <c r="J52" s="12" t="str">
        <f aca="false">IF(B52="","",SUMIFS('Absensi Harian'!$D$4:$D$153,'Absensi Harian'!$B$4:$B$153,B52,'Absensi Harian'!$A$4:$A$153,"&gt;="&amp;E52,'Absensi Harian'!$A$4:$A$153,"&lt;="&amp;F52,'Absensi Harian'!$C$4:$C$153,"Ya"))</f>
        <v/>
      </c>
      <c r="K52" s="12" t="str">
        <f aca="false">IF(B52="","",IFERROR(INDEX(Karyawan!$F$8:$F$37,MATCH(B52,Karyawan!$A$8:$A$37,0)),0))</f>
        <v/>
      </c>
      <c r="L52" s="13" t="str">
        <f aca="false">IF(B52="","",J52*K52)</f>
        <v/>
      </c>
      <c r="M52" s="13" t="str">
        <f aca="false">IF(B52="","",IFERROR(INDEX(Karyawan!$H$8:$H$37,MATCH(B52,Karyawan!$A$8:$A$37,0)),0))</f>
        <v/>
      </c>
      <c r="N52" s="17"/>
      <c r="O52" s="17"/>
      <c r="P52" s="19" t="str">
        <f aca="false">IF(B52="","",IFERROR(INDEX(Karyawan!$J$8:$J$37,MATCH(B52,Karyawan!$A$8:$A$37,0)),0))</f>
        <v/>
      </c>
      <c r="Q52" s="13" t="str">
        <f aca="false">IF(B52="","",MAX(0,O52-N52)*P52)</f>
        <v/>
      </c>
      <c r="R52" s="13" t="str">
        <f aca="false">IF(B52="","",IF(D52="Bulanan",M52+Q52,I52+L52))</f>
        <v/>
      </c>
      <c r="S52" s="17"/>
      <c r="T52" s="17"/>
      <c r="U52" s="17"/>
      <c r="V52" s="13" t="str">
        <f aca="false">IF(B52="","",IFERROR(INDEX(Karyawan!$K$8:$K$37,MATCH(B52,Karyawan!$A$8:$A$37,0)),0)-SUMIFS($U$3:$U51,$B$3:$B51,B52))</f>
        <v/>
      </c>
      <c r="W52" s="13" t="str">
        <f aca="false">IF(B52="","",V52-U52)</f>
        <v/>
      </c>
      <c r="X52" s="13" t="str">
        <f aca="false">IF(B52="","",R52-S52-T52-U52)</f>
        <v/>
      </c>
    </row>
    <row r="53" customFormat="false" ht="15" hidden="false" customHeight="false" outlineLevel="0" collapsed="false">
      <c r="A53" s="12" t="str">
        <f aca="false">IF(B53="","",ROW()-2)</f>
        <v/>
      </c>
      <c r="B53" s="16"/>
      <c r="C53" s="12" t="str">
        <f aca="false">IF(B53="","",IFERROR(INDEX(Karyawan!$B$8:$B$37,MATCH(B53,Karyawan!$A$8:$A$37,0)),""))</f>
        <v/>
      </c>
      <c r="D53" s="12" t="str">
        <f aca="false">IF(B53="","",IFERROR(INDEX(Karyawan!$C$8:$C$37,MATCH(B53,Karyawan!$A$8:$A$37,0)),""))</f>
        <v/>
      </c>
      <c r="E53" s="15"/>
      <c r="F53" s="15"/>
      <c r="G53" s="12" t="str">
        <f aca="false">IF(B53="","",COUNTIFS('Absensi Harian'!$B$4:$B$153,B53,'Absensi Harian'!$A$4:$A$153,"&gt;="&amp;E53,'Absensi Harian'!$A$4:$A$153,"&lt;="&amp;F53,'Absensi Harian'!$C$4:$C$153,"Ya"))</f>
        <v/>
      </c>
      <c r="H53" s="13" t="str">
        <f aca="false">IF(B53="","",IFERROR(INDEX(Karyawan!$E$8:$E$37,MATCH(B53,Karyawan!$A$8:$A$37,0)),0))</f>
        <v/>
      </c>
      <c r="I53" s="13" t="str">
        <f aca="false">IF(B53="","",G53*H53)</f>
        <v/>
      </c>
      <c r="J53" s="12" t="str">
        <f aca="false">IF(B53="","",SUMIFS('Absensi Harian'!$D$4:$D$153,'Absensi Harian'!$B$4:$B$153,B53,'Absensi Harian'!$A$4:$A$153,"&gt;="&amp;E53,'Absensi Harian'!$A$4:$A$153,"&lt;="&amp;F53,'Absensi Harian'!$C$4:$C$153,"Ya"))</f>
        <v/>
      </c>
      <c r="K53" s="12" t="str">
        <f aca="false">IF(B53="","",IFERROR(INDEX(Karyawan!$F$8:$F$37,MATCH(B53,Karyawan!$A$8:$A$37,0)),0))</f>
        <v/>
      </c>
      <c r="L53" s="13" t="str">
        <f aca="false">IF(B53="","",J53*K53)</f>
        <v/>
      </c>
      <c r="M53" s="13" t="str">
        <f aca="false">IF(B53="","",IFERROR(INDEX(Karyawan!$H$8:$H$37,MATCH(B53,Karyawan!$A$8:$A$37,0)),0))</f>
        <v/>
      </c>
      <c r="N53" s="17"/>
      <c r="O53" s="17"/>
      <c r="P53" s="19" t="str">
        <f aca="false">IF(B53="","",IFERROR(INDEX(Karyawan!$J$8:$J$37,MATCH(B53,Karyawan!$A$8:$A$37,0)),0))</f>
        <v/>
      </c>
      <c r="Q53" s="13" t="str">
        <f aca="false">IF(B53="","",MAX(0,O53-N53)*P53)</f>
        <v/>
      </c>
      <c r="R53" s="13" t="str">
        <f aca="false">IF(B53="","",IF(D53="Bulanan",M53+Q53,I53+L53))</f>
        <v/>
      </c>
      <c r="S53" s="17"/>
      <c r="T53" s="17"/>
      <c r="U53" s="17"/>
      <c r="V53" s="13" t="str">
        <f aca="false">IF(B53="","",IFERROR(INDEX(Karyawan!$K$8:$K$37,MATCH(B53,Karyawan!$A$8:$A$37,0)),0)-SUMIFS($U$3:$U52,$B$3:$B52,B53))</f>
        <v/>
      </c>
      <c r="W53" s="13" t="str">
        <f aca="false">IF(B53="","",V53-U53)</f>
        <v/>
      </c>
      <c r="X53" s="13" t="str">
        <f aca="false">IF(B53="","",R53-S53-T53-U53)</f>
        <v/>
      </c>
    </row>
    <row r="54" customFormat="false" ht="15" hidden="false" customHeight="false" outlineLevel="0" collapsed="false">
      <c r="A54" s="12" t="str">
        <f aca="false">IF(B54="","",ROW()-2)</f>
        <v/>
      </c>
      <c r="B54" s="16"/>
      <c r="C54" s="12" t="str">
        <f aca="false">IF(B54="","",IFERROR(INDEX(Karyawan!$B$8:$B$37,MATCH(B54,Karyawan!$A$8:$A$37,0)),""))</f>
        <v/>
      </c>
      <c r="D54" s="12" t="str">
        <f aca="false">IF(B54="","",IFERROR(INDEX(Karyawan!$C$8:$C$37,MATCH(B54,Karyawan!$A$8:$A$37,0)),""))</f>
        <v/>
      </c>
      <c r="E54" s="15"/>
      <c r="F54" s="15"/>
      <c r="G54" s="12" t="str">
        <f aca="false">IF(B54="","",COUNTIFS('Absensi Harian'!$B$4:$B$153,B54,'Absensi Harian'!$A$4:$A$153,"&gt;="&amp;E54,'Absensi Harian'!$A$4:$A$153,"&lt;="&amp;F54,'Absensi Harian'!$C$4:$C$153,"Ya"))</f>
        <v/>
      </c>
      <c r="H54" s="13" t="str">
        <f aca="false">IF(B54="","",IFERROR(INDEX(Karyawan!$E$8:$E$37,MATCH(B54,Karyawan!$A$8:$A$37,0)),0))</f>
        <v/>
      </c>
      <c r="I54" s="13" t="str">
        <f aca="false">IF(B54="","",G54*H54)</f>
        <v/>
      </c>
      <c r="J54" s="12" t="str">
        <f aca="false">IF(B54="","",SUMIFS('Absensi Harian'!$D$4:$D$153,'Absensi Harian'!$B$4:$B$153,B54,'Absensi Harian'!$A$4:$A$153,"&gt;="&amp;E54,'Absensi Harian'!$A$4:$A$153,"&lt;="&amp;F54,'Absensi Harian'!$C$4:$C$153,"Ya"))</f>
        <v/>
      </c>
      <c r="K54" s="12" t="str">
        <f aca="false">IF(B54="","",IFERROR(INDEX(Karyawan!$F$8:$F$37,MATCH(B54,Karyawan!$A$8:$A$37,0)),0))</f>
        <v/>
      </c>
      <c r="L54" s="13" t="str">
        <f aca="false">IF(B54="","",J54*K54)</f>
        <v/>
      </c>
      <c r="M54" s="13" t="str">
        <f aca="false">IF(B54="","",IFERROR(INDEX(Karyawan!$H$8:$H$37,MATCH(B54,Karyawan!$A$8:$A$37,0)),0))</f>
        <v/>
      </c>
      <c r="N54" s="17"/>
      <c r="O54" s="17"/>
      <c r="P54" s="19" t="str">
        <f aca="false">IF(B54="","",IFERROR(INDEX(Karyawan!$J$8:$J$37,MATCH(B54,Karyawan!$A$8:$A$37,0)),0))</f>
        <v/>
      </c>
      <c r="Q54" s="13" t="str">
        <f aca="false">IF(B54="","",MAX(0,O54-N54)*P54)</f>
        <v/>
      </c>
      <c r="R54" s="13" t="str">
        <f aca="false">IF(B54="","",IF(D54="Bulanan",M54+Q54,I54+L54))</f>
        <v/>
      </c>
      <c r="S54" s="17"/>
      <c r="T54" s="17"/>
      <c r="U54" s="17"/>
      <c r="V54" s="13" t="str">
        <f aca="false">IF(B54="","",IFERROR(INDEX(Karyawan!$K$8:$K$37,MATCH(B54,Karyawan!$A$8:$A$37,0)),0)-SUMIFS($U$3:$U53,$B$3:$B53,B54))</f>
        <v/>
      </c>
      <c r="W54" s="13" t="str">
        <f aca="false">IF(B54="","",V54-U54)</f>
        <v/>
      </c>
      <c r="X54" s="13" t="str">
        <f aca="false">IF(B54="","",R54-S54-T54-U54)</f>
        <v/>
      </c>
    </row>
    <row r="55" customFormat="false" ht="15" hidden="false" customHeight="false" outlineLevel="0" collapsed="false">
      <c r="A55" s="12" t="str">
        <f aca="false">IF(B55="","",ROW()-2)</f>
        <v/>
      </c>
      <c r="B55" s="16"/>
      <c r="C55" s="12" t="str">
        <f aca="false">IF(B55="","",IFERROR(INDEX(Karyawan!$B$8:$B$37,MATCH(B55,Karyawan!$A$8:$A$37,0)),""))</f>
        <v/>
      </c>
      <c r="D55" s="12" t="str">
        <f aca="false">IF(B55="","",IFERROR(INDEX(Karyawan!$C$8:$C$37,MATCH(B55,Karyawan!$A$8:$A$37,0)),""))</f>
        <v/>
      </c>
      <c r="E55" s="15"/>
      <c r="F55" s="15"/>
      <c r="G55" s="12" t="str">
        <f aca="false">IF(B55="","",COUNTIFS('Absensi Harian'!$B$4:$B$153,B55,'Absensi Harian'!$A$4:$A$153,"&gt;="&amp;E55,'Absensi Harian'!$A$4:$A$153,"&lt;="&amp;F55,'Absensi Harian'!$C$4:$C$153,"Ya"))</f>
        <v/>
      </c>
      <c r="H55" s="13" t="str">
        <f aca="false">IF(B55="","",IFERROR(INDEX(Karyawan!$E$8:$E$37,MATCH(B55,Karyawan!$A$8:$A$37,0)),0))</f>
        <v/>
      </c>
      <c r="I55" s="13" t="str">
        <f aca="false">IF(B55="","",G55*H55)</f>
        <v/>
      </c>
      <c r="J55" s="12" t="str">
        <f aca="false">IF(B55="","",SUMIFS('Absensi Harian'!$D$4:$D$153,'Absensi Harian'!$B$4:$B$153,B55,'Absensi Harian'!$A$4:$A$153,"&gt;="&amp;E55,'Absensi Harian'!$A$4:$A$153,"&lt;="&amp;F55,'Absensi Harian'!$C$4:$C$153,"Ya"))</f>
        <v/>
      </c>
      <c r="K55" s="12" t="str">
        <f aca="false">IF(B55="","",IFERROR(INDEX(Karyawan!$F$8:$F$37,MATCH(B55,Karyawan!$A$8:$A$37,0)),0))</f>
        <v/>
      </c>
      <c r="L55" s="13" t="str">
        <f aca="false">IF(B55="","",J55*K55)</f>
        <v/>
      </c>
      <c r="M55" s="13" t="str">
        <f aca="false">IF(B55="","",IFERROR(INDEX(Karyawan!$H$8:$H$37,MATCH(B55,Karyawan!$A$8:$A$37,0)),0))</f>
        <v/>
      </c>
      <c r="N55" s="17"/>
      <c r="O55" s="17"/>
      <c r="P55" s="19" t="str">
        <f aca="false">IF(B55="","",IFERROR(INDEX(Karyawan!$J$8:$J$37,MATCH(B55,Karyawan!$A$8:$A$37,0)),0))</f>
        <v/>
      </c>
      <c r="Q55" s="13" t="str">
        <f aca="false">IF(B55="","",MAX(0,O55-N55)*P55)</f>
        <v/>
      </c>
      <c r="R55" s="13" t="str">
        <f aca="false">IF(B55="","",IF(D55="Bulanan",M55+Q55,I55+L55))</f>
        <v/>
      </c>
      <c r="S55" s="17"/>
      <c r="T55" s="17"/>
      <c r="U55" s="17"/>
      <c r="V55" s="13" t="str">
        <f aca="false">IF(B55="","",IFERROR(INDEX(Karyawan!$K$8:$K$37,MATCH(B55,Karyawan!$A$8:$A$37,0)),0)-SUMIFS($U$3:$U54,$B$3:$B54,B55))</f>
        <v/>
      </c>
      <c r="W55" s="13" t="str">
        <f aca="false">IF(B55="","",V55-U55)</f>
        <v/>
      </c>
      <c r="X55" s="13" t="str">
        <f aca="false">IF(B55="","",R55-S55-T55-U55)</f>
        <v/>
      </c>
    </row>
    <row r="56" customFormat="false" ht="15" hidden="false" customHeight="false" outlineLevel="0" collapsed="false">
      <c r="A56" s="12" t="str">
        <f aca="false">IF(B56="","",ROW()-2)</f>
        <v/>
      </c>
      <c r="B56" s="16"/>
      <c r="C56" s="12" t="str">
        <f aca="false">IF(B56="","",IFERROR(INDEX(Karyawan!$B$8:$B$37,MATCH(B56,Karyawan!$A$8:$A$37,0)),""))</f>
        <v/>
      </c>
      <c r="D56" s="12" t="str">
        <f aca="false">IF(B56="","",IFERROR(INDEX(Karyawan!$C$8:$C$37,MATCH(B56,Karyawan!$A$8:$A$37,0)),""))</f>
        <v/>
      </c>
      <c r="E56" s="15"/>
      <c r="F56" s="15"/>
      <c r="G56" s="12" t="str">
        <f aca="false">IF(B56="","",COUNTIFS('Absensi Harian'!$B$4:$B$153,B56,'Absensi Harian'!$A$4:$A$153,"&gt;="&amp;E56,'Absensi Harian'!$A$4:$A$153,"&lt;="&amp;F56,'Absensi Harian'!$C$4:$C$153,"Ya"))</f>
        <v/>
      </c>
      <c r="H56" s="13" t="str">
        <f aca="false">IF(B56="","",IFERROR(INDEX(Karyawan!$E$8:$E$37,MATCH(B56,Karyawan!$A$8:$A$37,0)),0))</f>
        <v/>
      </c>
      <c r="I56" s="13" t="str">
        <f aca="false">IF(B56="","",G56*H56)</f>
        <v/>
      </c>
      <c r="J56" s="12" t="str">
        <f aca="false">IF(B56="","",SUMIFS('Absensi Harian'!$D$4:$D$153,'Absensi Harian'!$B$4:$B$153,B56,'Absensi Harian'!$A$4:$A$153,"&gt;="&amp;E56,'Absensi Harian'!$A$4:$A$153,"&lt;="&amp;F56,'Absensi Harian'!$C$4:$C$153,"Ya"))</f>
        <v/>
      </c>
      <c r="K56" s="12" t="str">
        <f aca="false">IF(B56="","",IFERROR(INDEX(Karyawan!$F$8:$F$37,MATCH(B56,Karyawan!$A$8:$A$37,0)),0))</f>
        <v/>
      </c>
      <c r="L56" s="13" t="str">
        <f aca="false">IF(B56="","",J56*K56)</f>
        <v/>
      </c>
      <c r="M56" s="13" t="str">
        <f aca="false">IF(B56="","",IFERROR(INDEX(Karyawan!$H$8:$H$37,MATCH(B56,Karyawan!$A$8:$A$37,0)),0))</f>
        <v/>
      </c>
      <c r="N56" s="17"/>
      <c r="O56" s="17"/>
      <c r="P56" s="19" t="str">
        <f aca="false">IF(B56="","",IFERROR(INDEX(Karyawan!$J$8:$J$37,MATCH(B56,Karyawan!$A$8:$A$37,0)),0))</f>
        <v/>
      </c>
      <c r="Q56" s="13" t="str">
        <f aca="false">IF(B56="","",MAX(0,O56-N56)*P56)</f>
        <v/>
      </c>
      <c r="R56" s="13" t="str">
        <f aca="false">IF(B56="","",IF(D56="Bulanan",M56+Q56,I56+L56))</f>
        <v/>
      </c>
      <c r="S56" s="17"/>
      <c r="T56" s="17"/>
      <c r="U56" s="17"/>
      <c r="V56" s="13" t="str">
        <f aca="false">IF(B56="","",IFERROR(INDEX(Karyawan!$K$8:$K$37,MATCH(B56,Karyawan!$A$8:$A$37,0)),0)-SUMIFS($U$3:$U55,$B$3:$B55,B56))</f>
        <v/>
      </c>
      <c r="W56" s="13" t="str">
        <f aca="false">IF(B56="","",V56-U56)</f>
        <v/>
      </c>
      <c r="X56" s="13" t="str">
        <f aca="false">IF(B56="","",R56-S56-T56-U56)</f>
        <v/>
      </c>
    </row>
    <row r="57" customFormat="false" ht="15" hidden="false" customHeight="false" outlineLevel="0" collapsed="false">
      <c r="A57" s="12" t="str">
        <f aca="false">IF(B57="","",ROW()-2)</f>
        <v/>
      </c>
      <c r="B57" s="16"/>
      <c r="C57" s="12" t="str">
        <f aca="false">IF(B57="","",IFERROR(INDEX(Karyawan!$B$8:$B$37,MATCH(B57,Karyawan!$A$8:$A$37,0)),""))</f>
        <v/>
      </c>
      <c r="D57" s="12" t="str">
        <f aca="false">IF(B57="","",IFERROR(INDEX(Karyawan!$C$8:$C$37,MATCH(B57,Karyawan!$A$8:$A$37,0)),""))</f>
        <v/>
      </c>
      <c r="E57" s="15"/>
      <c r="F57" s="15"/>
      <c r="G57" s="12" t="str">
        <f aca="false">IF(B57="","",COUNTIFS('Absensi Harian'!$B$4:$B$153,B57,'Absensi Harian'!$A$4:$A$153,"&gt;="&amp;E57,'Absensi Harian'!$A$4:$A$153,"&lt;="&amp;F57,'Absensi Harian'!$C$4:$C$153,"Ya"))</f>
        <v/>
      </c>
      <c r="H57" s="13" t="str">
        <f aca="false">IF(B57="","",IFERROR(INDEX(Karyawan!$E$8:$E$37,MATCH(B57,Karyawan!$A$8:$A$37,0)),0))</f>
        <v/>
      </c>
      <c r="I57" s="13" t="str">
        <f aca="false">IF(B57="","",G57*H57)</f>
        <v/>
      </c>
      <c r="J57" s="12" t="str">
        <f aca="false">IF(B57="","",SUMIFS('Absensi Harian'!$D$4:$D$153,'Absensi Harian'!$B$4:$B$153,B57,'Absensi Harian'!$A$4:$A$153,"&gt;="&amp;E57,'Absensi Harian'!$A$4:$A$153,"&lt;="&amp;F57,'Absensi Harian'!$C$4:$C$153,"Ya"))</f>
        <v/>
      </c>
      <c r="K57" s="12" t="str">
        <f aca="false">IF(B57="","",IFERROR(INDEX(Karyawan!$F$8:$F$37,MATCH(B57,Karyawan!$A$8:$A$37,0)),0))</f>
        <v/>
      </c>
      <c r="L57" s="13" t="str">
        <f aca="false">IF(B57="","",J57*K57)</f>
        <v/>
      </c>
      <c r="M57" s="13" t="str">
        <f aca="false">IF(B57="","",IFERROR(INDEX(Karyawan!$H$8:$H$37,MATCH(B57,Karyawan!$A$8:$A$37,0)),0))</f>
        <v/>
      </c>
      <c r="N57" s="17"/>
      <c r="O57" s="17"/>
      <c r="P57" s="19" t="str">
        <f aca="false">IF(B57="","",IFERROR(INDEX(Karyawan!$J$8:$J$37,MATCH(B57,Karyawan!$A$8:$A$37,0)),0))</f>
        <v/>
      </c>
      <c r="Q57" s="13" t="str">
        <f aca="false">IF(B57="","",MAX(0,O57-N57)*P57)</f>
        <v/>
      </c>
      <c r="R57" s="13" t="str">
        <f aca="false">IF(B57="","",IF(D57="Bulanan",M57+Q57,I57+L57))</f>
        <v/>
      </c>
      <c r="S57" s="17"/>
      <c r="T57" s="17"/>
      <c r="U57" s="17"/>
      <c r="V57" s="13" t="str">
        <f aca="false">IF(B57="","",IFERROR(INDEX(Karyawan!$K$8:$K$37,MATCH(B57,Karyawan!$A$8:$A$37,0)),0)-SUMIFS($U$3:$U56,$B$3:$B56,B57))</f>
        <v/>
      </c>
      <c r="W57" s="13" t="str">
        <f aca="false">IF(B57="","",V57-U57)</f>
        <v/>
      </c>
      <c r="X57" s="13" t="str">
        <f aca="false">IF(B57="","",R57-S57-T57-U57)</f>
        <v/>
      </c>
    </row>
    <row r="58" customFormat="false" ht="15" hidden="false" customHeight="false" outlineLevel="0" collapsed="false">
      <c r="A58" s="12" t="str">
        <f aca="false">IF(B58="","",ROW()-2)</f>
        <v/>
      </c>
      <c r="B58" s="16"/>
      <c r="C58" s="12" t="str">
        <f aca="false">IF(B58="","",IFERROR(INDEX(Karyawan!$B$8:$B$37,MATCH(B58,Karyawan!$A$8:$A$37,0)),""))</f>
        <v/>
      </c>
      <c r="D58" s="12" t="str">
        <f aca="false">IF(B58="","",IFERROR(INDEX(Karyawan!$C$8:$C$37,MATCH(B58,Karyawan!$A$8:$A$37,0)),""))</f>
        <v/>
      </c>
      <c r="E58" s="15"/>
      <c r="F58" s="15"/>
      <c r="G58" s="12" t="str">
        <f aca="false">IF(B58="","",COUNTIFS('Absensi Harian'!$B$4:$B$153,B58,'Absensi Harian'!$A$4:$A$153,"&gt;="&amp;E58,'Absensi Harian'!$A$4:$A$153,"&lt;="&amp;F58,'Absensi Harian'!$C$4:$C$153,"Ya"))</f>
        <v/>
      </c>
      <c r="H58" s="13" t="str">
        <f aca="false">IF(B58="","",IFERROR(INDEX(Karyawan!$E$8:$E$37,MATCH(B58,Karyawan!$A$8:$A$37,0)),0))</f>
        <v/>
      </c>
      <c r="I58" s="13" t="str">
        <f aca="false">IF(B58="","",G58*H58)</f>
        <v/>
      </c>
      <c r="J58" s="12" t="str">
        <f aca="false">IF(B58="","",SUMIFS('Absensi Harian'!$D$4:$D$153,'Absensi Harian'!$B$4:$B$153,B58,'Absensi Harian'!$A$4:$A$153,"&gt;="&amp;E58,'Absensi Harian'!$A$4:$A$153,"&lt;="&amp;F58,'Absensi Harian'!$C$4:$C$153,"Ya"))</f>
        <v/>
      </c>
      <c r="K58" s="12" t="str">
        <f aca="false">IF(B58="","",IFERROR(INDEX(Karyawan!$F$8:$F$37,MATCH(B58,Karyawan!$A$8:$A$37,0)),0))</f>
        <v/>
      </c>
      <c r="L58" s="13" t="str">
        <f aca="false">IF(B58="","",J58*K58)</f>
        <v/>
      </c>
      <c r="M58" s="13" t="str">
        <f aca="false">IF(B58="","",IFERROR(INDEX(Karyawan!$H$8:$H$37,MATCH(B58,Karyawan!$A$8:$A$37,0)),0))</f>
        <v/>
      </c>
      <c r="N58" s="17"/>
      <c r="O58" s="17"/>
      <c r="P58" s="19" t="str">
        <f aca="false">IF(B58="","",IFERROR(INDEX(Karyawan!$J$8:$J$37,MATCH(B58,Karyawan!$A$8:$A$37,0)),0))</f>
        <v/>
      </c>
      <c r="Q58" s="13" t="str">
        <f aca="false">IF(B58="","",MAX(0,O58-N58)*P58)</f>
        <v/>
      </c>
      <c r="R58" s="13" t="str">
        <f aca="false">IF(B58="","",IF(D58="Bulanan",M58+Q58,I58+L58))</f>
        <v/>
      </c>
      <c r="S58" s="17"/>
      <c r="T58" s="17"/>
      <c r="U58" s="17"/>
      <c r="V58" s="13" t="str">
        <f aca="false">IF(B58="","",IFERROR(INDEX(Karyawan!$K$8:$K$37,MATCH(B58,Karyawan!$A$8:$A$37,0)),0)-SUMIFS($U$3:$U57,$B$3:$B57,B58))</f>
        <v/>
      </c>
      <c r="W58" s="13" t="str">
        <f aca="false">IF(B58="","",V58-U58)</f>
        <v/>
      </c>
      <c r="X58" s="13" t="str">
        <f aca="false">IF(B58="","",R58-S58-T58-U58)</f>
        <v/>
      </c>
    </row>
    <row r="59" customFormat="false" ht="15" hidden="false" customHeight="false" outlineLevel="0" collapsed="false">
      <c r="A59" s="12" t="str">
        <f aca="false">IF(B59="","",ROW()-2)</f>
        <v/>
      </c>
      <c r="B59" s="16"/>
      <c r="C59" s="12" t="str">
        <f aca="false">IF(B59="","",IFERROR(INDEX(Karyawan!$B$8:$B$37,MATCH(B59,Karyawan!$A$8:$A$37,0)),""))</f>
        <v/>
      </c>
      <c r="D59" s="12" t="str">
        <f aca="false">IF(B59="","",IFERROR(INDEX(Karyawan!$C$8:$C$37,MATCH(B59,Karyawan!$A$8:$A$37,0)),""))</f>
        <v/>
      </c>
      <c r="E59" s="15"/>
      <c r="F59" s="15"/>
      <c r="G59" s="12" t="str">
        <f aca="false">IF(B59="","",COUNTIFS('Absensi Harian'!$B$4:$B$153,B59,'Absensi Harian'!$A$4:$A$153,"&gt;="&amp;E59,'Absensi Harian'!$A$4:$A$153,"&lt;="&amp;F59,'Absensi Harian'!$C$4:$C$153,"Ya"))</f>
        <v/>
      </c>
      <c r="H59" s="13" t="str">
        <f aca="false">IF(B59="","",IFERROR(INDEX(Karyawan!$E$8:$E$37,MATCH(B59,Karyawan!$A$8:$A$37,0)),0))</f>
        <v/>
      </c>
      <c r="I59" s="13" t="str">
        <f aca="false">IF(B59="","",G59*H59)</f>
        <v/>
      </c>
      <c r="J59" s="12" t="str">
        <f aca="false">IF(B59="","",SUMIFS('Absensi Harian'!$D$4:$D$153,'Absensi Harian'!$B$4:$B$153,B59,'Absensi Harian'!$A$4:$A$153,"&gt;="&amp;E59,'Absensi Harian'!$A$4:$A$153,"&lt;="&amp;F59,'Absensi Harian'!$C$4:$C$153,"Ya"))</f>
        <v/>
      </c>
      <c r="K59" s="12" t="str">
        <f aca="false">IF(B59="","",IFERROR(INDEX(Karyawan!$F$8:$F$37,MATCH(B59,Karyawan!$A$8:$A$37,0)),0))</f>
        <v/>
      </c>
      <c r="L59" s="13" t="str">
        <f aca="false">IF(B59="","",J59*K59)</f>
        <v/>
      </c>
      <c r="M59" s="13" t="str">
        <f aca="false">IF(B59="","",IFERROR(INDEX(Karyawan!$H$8:$H$37,MATCH(B59,Karyawan!$A$8:$A$37,0)),0))</f>
        <v/>
      </c>
      <c r="N59" s="17"/>
      <c r="O59" s="17"/>
      <c r="P59" s="19" t="str">
        <f aca="false">IF(B59="","",IFERROR(INDEX(Karyawan!$J$8:$J$37,MATCH(B59,Karyawan!$A$8:$A$37,0)),0))</f>
        <v/>
      </c>
      <c r="Q59" s="13" t="str">
        <f aca="false">IF(B59="","",MAX(0,O59-N59)*P59)</f>
        <v/>
      </c>
      <c r="R59" s="13" t="str">
        <f aca="false">IF(B59="","",IF(D59="Bulanan",M59+Q59,I59+L59))</f>
        <v/>
      </c>
      <c r="S59" s="17"/>
      <c r="T59" s="17"/>
      <c r="U59" s="17"/>
      <c r="V59" s="13" t="str">
        <f aca="false">IF(B59="","",IFERROR(INDEX(Karyawan!$K$8:$K$37,MATCH(B59,Karyawan!$A$8:$A$37,0)),0)-SUMIFS($U$3:$U58,$B$3:$B58,B59))</f>
        <v/>
      </c>
      <c r="W59" s="13" t="str">
        <f aca="false">IF(B59="","",V59-U59)</f>
        <v/>
      </c>
      <c r="X59" s="13" t="str">
        <f aca="false">IF(B59="","",R59-S59-T59-U59)</f>
        <v/>
      </c>
    </row>
    <row r="60" customFormat="false" ht="15" hidden="false" customHeight="false" outlineLevel="0" collapsed="false">
      <c r="A60" s="12" t="str">
        <f aca="false">IF(B60="","",ROW()-2)</f>
        <v/>
      </c>
      <c r="B60" s="16"/>
      <c r="C60" s="12" t="str">
        <f aca="false">IF(B60="","",IFERROR(INDEX(Karyawan!$B$8:$B$37,MATCH(B60,Karyawan!$A$8:$A$37,0)),""))</f>
        <v/>
      </c>
      <c r="D60" s="12" t="str">
        <f aca="false">IF(B60="","",IFERROR(INDEX(Karyawan!$C$8:$C$37,MATCH(B60,Karyawan!$A$8:$A$37,0)),""))</f>
        <v/>
      </c>
      <c r="E60" s="15"/>
      <c r="F60" s="15"/>
      <c r="G60" s="12" t="str">
        <f aca="false">IF(B60="","",COUNTIFS('Absensi Harian'!$B$4:$B$153,B60,'Absensi Harian'!$A$4:$A$153,"&gt;="&amp;E60,'Absensi Harian'!$A$4:$A$153,"&lt;="&amp;F60,'Absensi Harian'!$C$4:$C$153,"Ya"))</f>
        <v/>
      </c>
      <c r="H60" s="13" t="str">
        <f aca="false">IF(B60="","",IFERROR(INDEX(Karyawan!$E$8:$E$37,MATCH(B60,Karyawan!$A$8:$A$37,0)),0))</f>
        <v/>
      </c>
      <c r="I60" s="13" t="str">
        <f aca="false">IF(B60="","",G60*H60)</f>
        <v/>
      </c>
      <c r="J60" s="12" t="str">
        <f aca="false">IF(B60="","",SUMIFS('Absensi Harian'!$D$4:$D$153,'Absensi Harian'!$B$4:$B$153,B60,'Absensi Harian'!$A$4:$A$153,"&gt;="&amp;E60,'Absensi Harian'!$A$4:$A$153,"&lt;="&amp;F60,'Absensi Harian'!$C$4:$C$153,"Ya"))</f>
        <v/>
      </c>
      <c r="K60" s="12" t="str">
        <f aca="false">IF(B60="","",IFERROR(INDEX(Karyawan!$F$8:$F$37,MATCH(B60,Karyawan!$A$8:$A$37,0)),0))</f>
        <v/>
      </c>
      <c r="L60" s="13" t="str">
        <f aca="false">IF(B60="","",J60*K60)</f>
        <v/>
      </c>
      <c r="M60" s="13" t="str">
        <f aca="false">IF(B60="","",IFERROR(INDEX(Karyawan!$H$8:$H$37,MATCH(B60,Karyawan!$A$8:$A$37,0)),0))</f>
        <v/>
      </c>
      <c r="N60" s="17"/>
      <c r="O60" s="17"/>
      <c r="P60" s="19" t="str">
        <f aca="false">IF(B60="","",IFERROR(INDEX(Karyawan!$J$8:$J$37,MATCH(B60,Karyawan!$A$8:$A$37,0)),0))</f>
        <v/>
      </c>
      <c r="Q60" s="13" t="str">
        <f aca="false">IF(B60="","",MAX(0,O60-N60)*P60)</f>
        <v/>
      </c>
      <c r="R60" s="13" t="str">
        <f aca="false">IF(B60="","",IF(D60="Bulanan",M60+Q60,I60+L60))</f>
        <v/>
      </c>
      <c r="S60" s="17"/>
      <c r="T60" s="17"/>
      <c r="U60" s="17"/>
      <c r="V60" s="13" t="str">
        <f aca="false">IF(B60="","",IFERROR(INDEX(Karyawan!$K$8:$K$37,MATCH(B60,Karyawan!$A$8:$A$37,0)),0)-SUMIFS($U$3:$U59,$B$3:$B59,B60))</f>
        <v/>
      </c>
      <c r="W60" s="13" t="str">
        <f aca="false">IF(B60="","",V60-U60)</f>
        <v/>
      </c>
      <c r="X60" s="13" t="str">
        <f aca="false">IF(B60="","",R60-S60-T60-U60)</f>
        <v/>
      </c>
    </row>
    <row r="61" customFormat="false" ht="15" hidden="false" customHeight="false" outlineLevel="0" collapsed="false">
      <c r="A61" s="12" t="str">
        <f aca="false">IF(B61="","",ROW()-2)</f>
        <v/>
      </c>
      <c r="B61" s="16"/>
      <c r="C61" s="12" t="str">
        <f aca="false">IF(B61="","",IFERROR(INDEX(Karyawan!$B$8:$B$37,MATCH(B61,Karyawan!$A$8:$A$37,0)),""))</f>
        <v/>
      </c>
      <c r="D61" s="12" t="str">
        <f aca="false">IF(B61="","",IFERROR(INDEX(Karyawan!$C$8:$C$37,MATCH(B61,Karyawan!$A$8:$A$37,0)),""))</f>
        <v/>
      </c>
      <c r="E61" s="15"/>
      <c r="F61" s="15"/>
      <c r="G61" s="12" t="str">
        <f aca="false">IF(B61="","",COUNTIFS('Absensi Harian'!$B$4:$B$153,B61,'Absensi Harian'!$A$4:$A$153,"&gt;="&amp;E61,'Absensi Harian'!$A$4:$A$153,"&lt;="&amp;F61,'Absensi Harian'!$C$4:$C$153,"Ya"))</f>
        <v/>
      </c>
      <c r="H61" s="13" t="str">
        <f aca="false">IF(B61="","",IFERROR(INDEX(Karyawan!$E$8:$E$37,MATCH(B61,Karyawan!$A$8:$A$37,0)),0))</f>
        <v/>
      </c>
      <c r="I61" s="13" t="str">
        <f aca="false">IF(B61="","",G61*H61)</f>
        <v/>
      </c>
      <c r="J61" s="12" t="str">
        <f aca="false">IF(B61="","",SUMIFS('Absensi Harian'!$D$4:$D$153,'Absensi Harian'!$B$4:$B$153,B61,'Absensi Harian'!$A$4:$A$153,"&gt;="&amp;E61,'Absensi Harian'!$A$4:$A$153,"&lt;="&amp;F61,'Absensi Harian'!$C$4:$C$153,"Ya"))</f>
        <v/>
      </c>
      <c r="K61" s="12" t="str">
        <f aca="false">IF(B61="","",IFERROR(INDEX(Karyawan!$F$8:$F$37,MATCH(B61,Karyawan!$A$8:$A$37,0)),0))</f>
        <v/>
      </c>
      <c r="L61" s="13" t="str">
        <f aca="false">IF(B61="","",J61*K61)</f>
        <v/>
      </c>
      <c r="M61" s="13" t="str">
        <f aca="false">IF(B61="","",IFERROR(INDEX(Karyawan!$H$8:$H$37,MATCH(B61,Karyawan!$A$8:$A$37,0)),0))</f>
        <v/>
      </c>
      <c r="N61" s="17"/>
      <c r="O61" s="17"/>
      <c r="P61" s="19" t="str">
        <f aca="false">IF(B61="","",IFERROR(INDEX(Karyawan!$J$8:$J$37,MATCH(B61,Karyawan!$A$8:$A$37,0)),0))</f>
        <v/>
      </c>
      <c r="Q61" s="13" t="str">
        <f aca="false">IF(B61="","",MAX(0,O61-N61)*P61)</f>
        <v/>
      </c>
      <c r="R61" s="13" t="str">
        <f aca="false">IF(B61="","",IF(D61="Bulanan",M61+Q61,I61+L61))</f>
        <v/>
      </c>
      <c r="S61" s="17"/>
      <c r="T61" s="17"/>
      <c r="U61" s="17"/>
      <c r="V61" s="13" t="str">
        <f aca="false">IF(B61="","",IFERROR(INDEX(Karyawan!$K$8:$K$37,MATCH(B61,Karyawan!$A$8:$A$37,0)),0)-SUMIFS($U$3:$U60,$B$3:$B60,B61))</f>
        <v/>
      </c>
      <c r="W61" s="13" t="str">
        <f aca="false">IF(B61="","",V61-U61)</f>
        <v/>
      </c>
      <c r="X61" s="13" t="str">
        <f aca="false">IF(B61="","",R61-S61-T61-U61)</f>
        <v/>
      </c>
    </row>
    <row r="62" customFormat="false" ht="15" hidden="false" customHeight="false" outlineLevel="0" collapsed="false">
      <c r="A62" s="12" t="str">
        <f aca="false">IF(B62="","",ROW()-2)</f>
        <v/>
      </c>
      <c r="B62" s="16"/>
      <c r="C62" s="12" t="str">
        <f aca="false">IF(B62="","",IFERROR(INDEX(Karyawan!$B$8:$B$37,MATCH(B62,Karyawan!$A$8:$A$37,0)),""))</f>
        <v/>
      </c>
      <c r="D62" s="12" t="str">
        <f aca="false">IF(B62="","",IFERROR(INDEX(Karyawan!$C$8:$C$37,MATCH(B62,Karyawan!$A$8:$A$37,0)),""))</f>
        <v/>
      </c>
      <c r="E62" s="15"/>
      <c r="F62" s="15"/>
      <c r="G62" s="12" t="str">
        <f aca="false">IF(B62="","",COUNTIFS('Absensi Harian'!$B$4:$B$153,B62,'Absensi Harian'!$A$4:$A$153,"&gt;="&amp;E62,'Absensi Harian'!$A$4:$A$153,"&lt;="&amp;F62,'Absensi Harian'!$C$4:$C$153,"Ya"))</f>
        <v/>
      </c>
      <c r="H62" s="13" t="str">
        <f aca="false">IF(B62="","",IFERROR(INDEX(Karyawan!$E$8:$E$37,MATCH(B62,Karyawan!$A$8:$A$37,0)),0))</f>
        <v/>
      </c>
      <c r="I62" s="13" t="str">
        <f aca="false">IF(B62="","",G62*H62)</f>
        <v/>
      </c>
      <c r="J62" s="12" t="str">
        <f aca="false">IF(B62="","",SUMIFS('Absensi Harian'!$D$4:$D$153,'Absensi Harian'!$B$4:$B$153,B62,'Absensi Harian'!$A$4:$A$153,"&gt;="&amp;E62,'Absensi Harian'!$A$4:$A$153,"&lt;="&amp;F62,'Absensi Harian'!$C$4:$C$153,"Ya"))</f>
        <v/>
      </c>
      <c r="K62" s="12" t="str">
        <f aca="false">IF(B62="","",IFERROR(INDEX(Karyawan!$F$8:$F$37,MATCH(B62,Karyawan!$A$8:$A$37,0)),0))</f>
        <v/>
      </c>
      <c r="L62" s="13" t="str">
        <f aca="false">IF(B62="","",J62*K62)</f>
        <v/>
      </c>
      <c r="M62" s="13" t="str">
        <f aca="false">IF(B62="","",IFERROR(INDEX(Karyawan!$H$8:$H$37,MATCH(B62,Karyawan!$A$8:$A$37,0)),0))</f>
        <v/>
      </c>
      <c r="N62" s="17"/>
      <c r="O62" s="17"/>
      <c r="P62" s="19" t="str">
        <f aca="false">IF(B62="","",IFERROR(INDEX(Karyawan!$J$8:$J$37,MATCH(B62,Karyawan!$A$8:$A$37,0)),0))</f>
        <v/>
      </c>
      <c r="Q62" s="13" t="str">
        <f aca="false">IF(B62="","",MAX(0,O62-N62)*P62)</f>
        <v/>
      </c>
      <c r="R62" s="13" t="str">
        <f aca="false">IF(B62="","",IF(D62="Bulanan",M62+Q62,I62+L62))</f>
        <v/>
      </c>
      <c r="S62" s="17"/>
      <c r="T62" s="17"/>
      <c r="U62" s="17"/>
      <c r="V62" s="13" t="str">
        <f aca="false">IF(B62="","",IFERROR(INDEX(Karyawan!$K$8:$K$37,MATCH(B62,Karyawan!$A$8:$A$37,0)),0)-SUMIFS($U$3:$U61,$B$3:$B61,B62))</f>
        <v/>
      </c>
      <c r="W62" s="13" t="str">
        <f aca="false">IF(B62="","",V62-U62)</f>
        <v/>
      </c>
      <c r="X62" s="13" t="str">
        <f aca="false">IF(B62="","",R62-S62-T62-U62)</f>
        <v/>
      </c>
    </row>
    <row r="63" customFormat="false" ht="15" hidden="false" customHeight="false" outlineLevel="0" collapsed="false">
      <c r="A63" s="12" t="str">
        <f aca="false">IF(B63="","",ROW()-2)</f>
        <v/>
      </c>
      <c r="B63" s="16"/>
      <c r="C63" s="12" t="str">
        <f aca="false">IF(B63="","",IFERROR(INDEX(Karyawan!$B$8:$B$37,MATCH(B63,Karyawan!$A$8:$A$37,0)),""))</f>
        <v/>
      </c>
      <c r="D63" s="12" t="str">
        <f aca="false">IF(B63="","",IFERROR(INDEX(Karyawan!$C$8:$C$37,MATCH(B63,Karyawan!$A$8:$A$37,0)),""))</f>
        <v/>
      </c>
      <c r="E63" s="15"/>
      <c r="F63" s="15"/>
      <c r="G63" s="12" t="str">
        <f aca="false">IF(B63="","",COUNTIFS('Absensi Harian'!$B$4:$B$153,B63,'Absensi Harian'!$A$4:$A$153,"&gt;="&amp;E63,'Absensi Harian'!$A$4:$A$153,"&lt;="&amp;F63,'Absensi Harian'!$C$4:$C$153,"Ya"))</f>
        <v/>
      </c>
      <c r="H63" s="13" t="str">
        <f aca="false">IF(B63="","",IFERROR(INDEX(Karyawan!$E$8:$E$37,MATCH(B63,Karyawan!$A$8:$A$37,0)),0))</f>
        <v/>
      </c>
      <c r="I63" s="13" t="str">
        <f aca="false">IF(B63="","",G63*H63)</f>
        <v/>
      </c>
      <c r="J63" s="12" t="str">
        <f aca="false">IF(B63="","",SUMIFS('Absensi Harian'!$D$4:$D$153,'Absensi Harian'!$B$4:$B$153,B63,'Absensi Harian'!$A$4:$A$153,"&gt;="&amp;E63,'Absensi Harian'!$A$4:$A$153,"&lt;="&amp;F63,'Absensi Harian'!$C$4:$C$153,"Ya"))</f>
        <v/>
      </c>
      <c r="K63" s="12" t="str">
        <f aca="false">IF(B63="","",IFERROR(INDEX(Karyawan!$F$8:$F$37,MATCH(B63,Karyawan!$A$8:$A$37,0)),0))</f>
        <v/>
      </c>
      <c r="L63" s="13" t="str">
        <f aca="false">IF(B63="","",J63*K63)</f>
        <v/>
      </c>
      <c r="M63" s="13" t="str">
        <f aca="false">IF(B63="","",IFERROR(INDEX(Karyawan!$H$8:$H$37,MATCH(B63,Karyawan!$A$8:$A$37,0)),0))</f>
        <v/>
      </c>
      <c r="N63" s="17"/>
      <c r="O63" s="17"/>
      <c r="P63" s="19" t="str">
        <f aca="false">IF(B63="","",IFERROR(INDEX(Karyawan!$J$8:$J$37,MATCH(B63,Karyawan!$A$8:$A$37,0)),0))</f>
        <v/>
      </c>
      <c r="Q63" s="13" t="str">
        <f aca="false">IF(B63="","",MAX(0,O63-N63)*P63)</f>
        <v/>
      </c>
      <c r="R63" s="13" t="str">
        <f aca="false">IF(B63="","",IF(D63="Bulanan",M63+Q63,I63+L63))</f>
        <v/>
      </c>
      <c r="S63" s="17"/>
      <c r="T63" s="17"/>
      <c r="U63" s="17"/>
      <c r="V63" s="13" t="str">
        <f aca="false">IF(B63="","",IFERROR(INDEX(Karyawan!$K$8:$K$37,MATCH(B63,Karyawan!$A$8:$A$37,0)),0)-SUMIFS($U$3:$U62,$B$3:$B62,B63))</f>
        <v/>
      </c>
      <c r="W63" s="13" t="str">
        <f aca="false">IF(B63="","",V63-U63)</f>
        <v/>
      </c>
      <c r="X63" s="13" t="str">
        <f aca="false">IF(B63="","",R63-S63-T63-U63)</f>
        <v/>
      </c>
    </row>
    <row r="64" customFormat="false" ht="15" hidden="false" customHeight="false" outlineLevel="0" collapsed="false">
      <c r="A64" s="12" t="str">
        <f aca="false">IF(B64="","",ROW()-2)</f>
        <v/>
      </c>
      <c r="B64" s="16"/>
      <c r="C64" s="12" t="str">
        <f aca="false">IF(B64="","",IFERROR(INDEX(Karyawan!$B$8:$B$37,MATCH(B64,Karyawan!$A$8:$A$37,0)),""))</f>
        <v/>
      </c>
      <c r="D64" s="12" t="str">
        <f aca="false">IF(B64="","",IFERROR(INDEX(Karyawan!$C$8:$C$37,MATCH(B64,Karyawan!$A$8:$A$37,0)),""))</f>
        <v/>
      </c>
      <c r="E64" s="15"/>
      <c r="F64" s="15"/>
      <c r="G64" s="12" t="str">
        <f aca="false">IF(B64="","",COUNTIFS('Absensi Harian'!$B$4:$B$153,B64,'Absensi Harian'!$A$4:$A$153,"&gt;="&amp;E64,'Absensi Harian'!$A$4:$A$153,"&lt;="&amp;F64,'Absensi Harian'!$C$4:$C$153,"Ya"))</f>
        <v/>
      </c>
      <c r="H64" s="13" t="str">
        <f aca="false">IF(B64="","",IFERROR(INDEX(Karyawan!$E$8:$E$37,MATCH(B64,Karyawan!$A$8:$A$37,0)),0))</f>
        <v/>
      </c>
      <c r="I64" s="13" t="str">
        <f aca="false">IF(B64="","",G64*H64)</f>
        <v/>
      </c>
      <c r="J64" s="12" t="str">
        <f aca="false">IF(B64="","",SUMIFS('Absensi Harian'!$D$4:$D$153,'Absensi Harian'!$B$4:$B$153,B64,'Absensi Harian'!$A$4:$A$153,"&gt;="&amp;E64,'Absensi Harian'!$A$4:$A$153,"&lt;="&amp;F64,'Absensi Harian'!$C$4:$C$153,"Ya"))</f>
        <v/>
      </c>
      <c r="K64" s="12" t="str">
        <f aca="false">IF(B64="","",IFERROR(INDEX(Karyawan!$F$8:$F$37,MATCH(B64,Karyawan!$A$8:$A$37,0)),0))</f>
        <v/>
      </c>
      <c r="L64" s="13" t="str">
        <f aca="false">IF(B64="","",J64*K64)</f>
        <v/>
      </c>
      <c r="M64" s="13" t="str">
        <f aca="false">IF(B64="","",IFERROR(INDEX(Karyawan!$H$8:$H$37,MATCH(B64,Karyawan!$A$8:$A$37,0)),0))</f>
        <v/>
      </c>
      <c r="N64" s="17"/>
      <c r="O64" s="17"/>
      <c r="P64" s="19" t="str">
        <f aca="false">IF(B64="","",IFERROR(INDEX(Karyawan!$J$8:$J$37,MATCH(B64,Karyawan!$A$8:$A$37,0)),0))</f>
        <v/>
      </c>
      <c r="Q64" s="13" t="str">
        <f aca="false">IF(B64="","",MAX(0,O64-N64)*P64)</f>
        <v/>
      </c>
      <c r="R64" s="13" t="str">
        <f aca="false">IF(B64="","",IF(D64="Bulanan",M64+Q64,I64+L64))</f>
        <v/>
      </c>
      <c r="S64" s="17"/>
      <c r="T64" s="17"/>
      <c r="U64" s="17"/>
      <c r="V64" s="13" t="str">
        <f aca="false">IF(B64="","",IFERROR(INDEX(Karyawan!$K$8:$K$37,MATCH(B64,Karyawan!$A$8:$A$37,0)),0)-SUMIFS($U$3:$U63,$B$3:$B63,B64))</f>
        <v/>
      </c>
      <c r="W64" s="13" t="str">
        <f aca="false">IF(B64="","",V64-U64)</f>
        <v/>
      </c>
      <c r="X64" s="13" t="str">
        <f aca="false">IF(B64="","",R64-S64-T64-U64)</f>
        <v/>
      </c>
    </row>
    <row r="65" customFormat="false" ht="15" hidden="false" customHeight="false" outlineLevel="0" collapsed="false">
      <c r="A65" s="12" t="str">
        <f aca="false">IF(B65="","",ROW()-2)</f>
        <v/>
      </c>
      <c r="B65" s="16"/>
      <c r="C65" s="12" t="str">
        <f aca="false">IF(B65="","",IFERROR(INDEX(Karyawan!$B$8:$B$37,MATCH(B65,Karyawan!$A$8:$A$37,0)),""))</f>
        <v/>
      </c>
      <c r="D65" s="12" t="str">
        <f aca="false">IF(B65="","",IFERROR(INDEX(Karyawan!$C$8:$C$37,MATCH(B65,Karyawan!$A$8:$A$37,0)),""))</f>
        <v/>
      </c>
      <c r="E65" s="15"/>
      <c r="F65" s="15"/>
      <c r="G65" s="12" t="str">
        <f aca="false">IF(B65="","",COUNTIFS('Absensi Harian'!$B$4:$B$153,B65,'Absensi Harian'!$A$4:$A$153,"&gt;="&amp;E65,'Absensi Harian'!$A$4:$A$153,"&lt;="&amp;F65,'Absensi Harian'!$C$4:$C$153,"Ya"))</f>
        <v/>
      </c>
      <c r="H65" s="13" t="str">
        <f aca="false">IF(B65="","",IFERROR(INDEX(Karyawan!$E$8:$E$37,MATCH(B65,Karyawan!$A$8:$A$37,0)),0))</f>
        <v/>
      </c>
      <c r="I65" s="13" t="str">
        <f aca="false">IF(B65="","",G65*H65)</f>
        <v/>
      </c>
      <c r="J65" s="12" t="str">
        <f aca="false">IF(B65="","",SUMIFS('Absensi Harian'!$D$4:$D$153,'Absensi Harian'!$B$4:$B$153,B65,'Absensi Harian'!$A$4:$A$153,"&gt;="&amp;E65,'Absensi Harian'!$A$4:$A$153,"&lt;="&amp;F65,'Absensi Harian'!$C$4:$C$153,"Ya"))</f>
        <v/>
      </c>
      <c r="K65" s="12" t="str">
        <f aca="false">IF(B65="","",IFERROR(INDEX(Karyawan!$F$8:$F$37,MATCH(B65,Karyawan!$A$8:$A$37,0)),0))</f>
        <v/>
      </c>
      <c r="L65" s="13" t="str">
        <f aca="false">IF(B65="","",J65*K65)</f>
        <v/>
      </c>
      <c r="M65" s="13" t="str">
        <f aca="false">IF(B65="","",IFERROR(INDEX(Karyawan!$H$8:$H$37,MATCH(B65,Karyawan!$A$8:$A$37,0)),0))</f>
        <v/>
      </c>
      <c r="N65" s="17"/>
      <c r="O65" s="17"/>
      <c r="P65" s="19" t="str">
        <f aca="false">IF(B65="","",IFERROR(INDEX(Karyawan!$J$8:$J$37,MATCH(B65,Karyawan!$A$8:$A$37,0)),0))</f>
        <v/>
      </c>
      <c r="Q65" s="13" t="str">
        <f aca="false">IF(B65="","",MAX(0,O65-N65)*P65)</f>
        <v/>
      </c>
      <c r="R65" s="13" t="str">
        <f aca="false">IF(B65="","",IF(D65="Bulanan",M65+Q65,I65+L65))</f>
        <v/>
      </c>
      <c r="S65" s="17"/>
      <c r="T65" s="17"/>
      <c r="U65" s="17"/>
      <c r="V65" s="13" t="str">
        <f aca="false">IF(B65="","",IFERROR(INDEX(Karyawan!$K$8:$K$37,MATCH(B65,Karyawan!$A$8:$A$37,0)),0)-SUMIFS($U$3:$U64,$B$3:$B64,B65))</f>
        <v/>
      </c>
      <c r="W65" s="13" t="str">
        <f aca="false">IF(B65="","",V65-U65)</f>
        <v/>
      </c>
      <c r="X65" s="13" t="str">
        <f aca="false">IF(B65="","",R65-S65-T65-U65)</f>
        <v/>
      </c>
    </row>
    <row r="66" customFormat="false" ht="15" hidden="false" customHeight="false" outlineLevel="0" collapsed="false">
      <c r="A66" s="12" t="str">
        <f aca="false">IF(B66="","",ROW()-2)</f>
        <v/>
      </c>
      <c r="B66" s="16"/>
      <c r="C66" s="12" t="str">
        <f aca="false">IF(B66="","",IFERROR(INDEX(Karyawan!$B$8:$B$37,MATCH(B66,Karyawan!$A$8:$A$37,0)),""))</f>
        <v/>
      </c>
      <c r="D66" s="12" t="str">
        <f aca="false">IF(B66="","",IFERROR(INDEX(Karyawan!$C$8:$C$37,MATCH(B66,Karyawan!$A$8:$A$37,0)),""))</f>
        <v/>
      </c>
      <c r="E66" s="15"/>
      <c r="F66" s="15"/>
      <c r="G66" s="12" t="str">
        <f aca="false">IF(B66="","",COUNTIFS('Absensi Harian'!$B$4:$B$153,B66,'Absensi Harian'!$A$4:$A$153,"&gt;="&amp;E66,'Absensi Harian'!$A$4:$A$153,"&lt;="&amp;F66,'Absensi Harian'!$C$4:$C$153,"Ya"))</f>
        <v/>
      </c>
      <c r="H66" s="13" t="str">
        <f aca="false">IF(B66="","",IFERROR(INDEX(Karyawan!$E$8:$E$37,MATCH(B66,Karyawan!$A$8:$A$37,0)),0))</f>
        <v/>
      </c>
      <c r="I66" s="13" t="str">
        <f aca="false">IF(B66="","",G66*H66)</f>
        <v/>
      </c>
      <c r="J66" s="12" t="str">
        <f aca="false">IF(B66="","",SUMIFS('Absensi Harian'!$D$4:$D$153,'Absensi Harian'!$B$4:$B$153,B66,'Absensi Harian'!$A$4:$A$153,"&gt;="&amp;E66,'Absensi Harian'!$A$4:$A$153,"&lt;="&amp;F66,'Absensi Harian'!$C$4:$C$153,"Ya"))</f>
        <v/>
      </c>
      <c r="K66" s="12" t="str">
        <f aca="false">IF(B66="","",IFERROR(INDEX(Karyawan!$F$8:$F$37,MATCH(B66,Karyawan!$A$8:$A$37,0)),0))</f>
        <v/>
      </c>
      <c r="L66" s="13" t="str">
        <f aca="false">IF(B66="","",J66*K66)</f>
        <v/>
      </c>
      <c r="M66" s="13" t="str">
        <f aca="false">IF(B66="","",IFERROR(INDEX(Karyawan!$H$8:$H$37,MATCH(B66,Karyawan!$A$8:$A$37,0)),0))</f>
        <v/>
      </c>
      <c r="N66" s="17"/>
      <c r="O66" s="17"/>
      <c r="P66" s="19" t="str">
        <f aca="false">IF(B66="","",IFERROR(INDEX(Karyawan!$J$8:$J$37,MATCH(B66,Karyawan!$A$8:$A$37,0)),0))</f>
        <v/>
      </c>
      <c r="Q66" s="13" t="str">
        <f aca="false">IF(B66="","",MAX(0,O66-N66)*P66)</f>
        <v/>
      </c>
      <c r="R66" s="13" t="str">
        <f aca="false">IF(B66="","",IF(D66="Bulanan",M66+Q66,I66+L66))</f>
        <v/>
      </c>
      <c r="S66" s="17"/>
      <c r="T66" s="17"/>
      <c r="U66" s="17"/>
      <c r="V66" s="13" t="str">
        <f aca="false">IF(B66="","",IFERROR(INDEX(Karyawan!$K$8:$K$37,MATCH(B66,Karyawan!$A$8:$A$37,0)),0)-SUMIFS($U$3:$U65,$B$3:$B65,B66))</f>
        <v/>
      </c>
      <c r="W66" s="13" t="str">
        <f aca="false">IF(B66="","",V66-U66)</f>
        <v/>
      </c>
      <c r="X66" s="13" t="str">
        <f aca="false">IF(B66="","",R66-S66-T66-U66)</f>
        <v/>
      </c>
    </row>
    <row r="67" customFormat="false" ht="15" hidden="false" customHeight="false" outlineLevel="0" collapsed="false">
      <c r="A67" s="12" t="str">
        <f aca="false">IF(B67="","",ROW()-2)</f>
        <v/>
      </c>
      <c r="B67" s="16"/>
      <c r="C67" s="12" t="str">
        <f aca="false">IF(B67="","",IFERROR(INDEX(Karyawan!$B$8:$B$37,MATCH(B67,Karyawan!$A$8:$A$37,0)),""))</f>
        <v/>
      </c>
      <c r="D67" s="12" t="str">
        <f aca="false">IF(B67="","",IFERROR(INDEX(Karyawan!$C$8:$C$37,MATCH(B67,Karyawan!$A$8:$A$37,0)),""))</f>
        <v/>
      </c>
      <c r="E67" s="15"/>
      <c r="F67" s="15"/>
      <c r="G67" s="12" t="str">
        <f aca="false">IF(B67="","",COUNTIFS('Absensi Harian'!$B$4:$B$153,B67,'Absensi Harian'!$A$4:$A$153,"&gt;="&amp;E67,'Absensi Harian'!$A$4:$A$153,"&lt;="&amp;F67,'Absensi Harian'!$C$4:$C$153,"Ya"))</f>
        <v/>
      </c>
      <c r="H67" s="13" t="str">
        <f aca="false">IF(B67="","",IFERROR(INDEX(Karyawan!$E$8:$E$37,MATCH(B67,Karyawan!$A$8:$A$37,0)),0))</f>
        <v/>
      </c>
      <c r="I67" s="13" t="str">
        <f aca="false">IF(B67="","",G67*H67)</f>
        <v/>
      </c>
      <c r="J67" s="12" t="str">
        <f aca="false">IF(B67="","",SUMIFS('Absensi Harian'!$D$4:$D$153,'Absensi Harian'!$B$4:$B$153,B67,'Absensi Harian'!$A$4:$A$153,"&gt;="&amp;E67,'Absensi Harian'!$A$4:$A$153,"&lt;="&amp;F67,'Absensi Harian'!$C$4:$C$153,"Ya"))</f>
        <v/>
      </c>
      <c r="K67" s="12" t="str">
        <f aca="false">IF(B67="","",IFERROR(INDEX(Karyawan!$F$8:$F$37,MATCH(B67,Karyawan!$A$8:$A$37,0)),0))</f>
        <v/>
      </c>
      <c r="L67" s="13" t="str">
        <f aca="false">IF(B67="","",J67*K67)</f>
        <v/>
      </c>
      <c r="M67" s="13" t="str">
        <f aca="false">IF(B67="","",IFERROR(INDEX(Karyawan!$H$8:$H$37,MATCH(B67,Karyawan!$A$8:$A$37,0)),0))</f>
        <v/>
      </c>
      <c r="N67" s="17"/>
      <c r="O67" s="17"/>
      <c r="P67" s="19" t="str">
        <f aca="false">IF(B67="","",IFERROR(INDEX(Karyawan!$J$8:$J$37,MATCH(B67,Karyawan!$A$8:$A$37,0)),0))</f>
        <v/>
      </c>
      <c r="Q67" s="13" t="str">
        <f aca="false">IF(B67="","",MAX(0,O67-N67)*P67)</f>
        <v/>
      </c>
      <c r="R67" s="13" t="str">
        <f aca="false">IF(B67="","",IF(D67="Bulanan",M67+Q67,I67+L67))</f>
        <v/>
      </c>
      <c r="S67" s="17"/>
      <c r="T67" s="17"/>
      <c r="U67" s="17"/>
      <c r="V67" s="13" t="str">
        <f aca="false">IF(B67="","",IFERROR(INDEX(Karyawan!$K$8:$K$37,MATCH(B67,Karyawan!$A$8:$A$37,0)),0)-SUMIFS($U$3:$U66,$B$3:$B66,B67))</f>
        <v/>
      </c>
      <c r="W67" s="13" t="str">
        <f aca="false">IF(B67="","",V67-U67)</f>
        <v/>
      </c>
      <c r="X67" s="13" t="str">
        <f aca="false">IF(B67="","",R67-S67-T67-U67)</f>
        <v/>
      </c>
    </row>
    <row r="68" customFormat="false" ht="15" hidden="false" customHeight="false" outlineLevel="0" collapsed="false">
      <c r="A68" s="12" t="str">
        <f aca="false">IF(B68="","",ROW()-2)</f>
        <v/>
      </c>
      <c r="B68" s="16"/>
      <c r="C68" s="12" t="str">
        <f aca="false">IF(B68="","",IFERROR(INDEX(Karyawan!$B$8:$B$37,MATCH(B68,Karyawan!$A$8:$A$37,0)),""))</f>
        <v/>
      </c>
      <c r="D68" s="12" t="str">
        <f aca="false">IF(B68="","",IFERROR(INDEX(Karyawan!$C$8:$C$37,MATCH(B68,Karyawan!$A$8:$A$37,0)),""))</f>
        <v/>
      </c>
      <c r="E68" s="15"/>
      <c r="F68" s="15"/>
      <c r="G68" s="12" t="str">
        <f aca="false">IF(B68="","",COUNTIFS('Absensi Harian'!$B$4:$B$153,B68,'Absensi Harian'!$A$4:$A$153,"&gt;="&amp;E68,'Absensi Harian'!$A$4:$A$153,"&lt;="&amp;F68,'Absensi Harian'!$C$4:$C$153,"Ya"))</f>
        <v/>
      </c>
      <c r="H68" s="13" t="str">
        <f aca="false">IF(B68="","",IFERROR(INDEX(Karyawan!$E$8:$E$37,MATCH(B68,Karyawan!$A$8:$A$37,0)),0))</f>
        <v/>
      </c>
      <c r="I68" s="13" t="str">
        <f aca="false">IF(B68="","",G68*H68)</f>
        <v/>
      </c>
      <c r="J68" s="12" t="str">
        <f aca="false">IF(B68="","",SUMIFS('Absensi Harian'!$D$4:$D$153,'Absensi Harian'!$B$4:$B$153,B68,'Absensi Harian'!$A$4:$A$153,"&gt;="&amp;E68,'Absensi Harian'!$A$4:$A$153,"&lt;="&amp;F68,'Absensi Harian'!$C$4:$C$153,"Ya"))</f>
        <v/>
      </c>
      <c r="K68" s="12" t="str">
        <f aca="false">IF(B68="","",IFERROR(INDEX(Karyawan!$F$8:$F$37,MATCH(B68,Karyawan!$A$8:$A$37,0)),0))</f>
        <v/>
      </c>
      <c r="L68" s="13" t="str">
        <f aca="false">IF(B68="","",J68*K68)</f>
        <v/>
      </c>
      <c r="M68" s="13" t="str">
        <f aca="false">IF(B68="","",IFERROR(INDEX(Karyawan!$H$8:$H$37,MATCH(B68,Karyawan!$A$8:$A$37,0)),0))</f>
        <v/>
      </c>
      <c r="N68" s="17"/>
      <c r="O68" s="17"/>
      <c r="P68" s="19" t="str">
        <f aca="false">IF(B68="","",IFERROR(INDEX(Karyawan!$J$8:$J$37,MATCH(B68,Karyawan!$A$8:$A$37,0)),0))</f>
        <v/>
      </c>
      <c r="Q68" s="13" t="str">
        <f aca="false">IF(B68="","",MAX(0,O68-N68)*P68)</f>
        <v/>
      </c>
      <c r="R68" s="13" t="str">
        <f aca="false">IF(B68="","",IF(D68="Bulanan",M68+Q68,I68+L68))</f>
        <v/>
      </c>
      <c r="S68" s="17"/>
      <c r="T68" s="17"/>
      <c r="U68" s="17"/>
      <c r="V68" s="13" t="str">
        <f aca="false">IF(B68="","",IFERROR(INDEX(Karyawan!$K$8:$K$37,MATCH(B68,Karyawan!$A$8:$A$37,0)),0)-SUMIFS($U$3:$U67,$B$3:$B67,B68))</f>
        <v/>
      </c>
      <c r="W68" s="13" t="str">
        <f aca="false">IF(B68="","",V68-U68)</f>
        <v/>
      </c>
      <c r="X68" s="13" t="str">
        <f aca="false">IF(B68="","",R68-S68-T68-U68)</f>
        <v/>
      </c>
    </row>
    <row r="69" customFormat="false" ht="15" hidden="false" customHeight="false" outlineLevel="0" collapsed="false">
      <c r="A69" s="12" t="str">
        <f aca="false">IF(B69="","",ROW()-2)</f>
        <v/>
      </c>
      <c r="B69" s="16"/>
      <c r="C69" s="12" t="str">
        <f aca="false">IF(B69="","",IFERROR(INDEX(Karyawan!$B$8:$B$37,MATCH(B69,Karyawan!$A$8:$A$37,0)),""))</f>
        <v/>
      </c>
      <c r="D69" s="12" t="str">
        <f aca="false">IF(B69="","",IFERROR(INDEX(Karyawan!$C$8:$C$37,MATCH(B69,Karyawan!$A$8:$A$37,0)),""))</f>
        <v/>
      </c>
      <c r="E69" s="15"/>
      <c r="F69" s="15"/>
      <c r="G69" s="12" t="str">
        <f aca="false">IF(B69="","",COUNTIFS('Absensi Harian'!$B$4:$B$153,B69,'Absensi Harian'!$A$4:$A$153,"&gt;="&amp;E69,'Absensi Harian'!$A$4:$A$153,"&lt;="&amp;F69,'Absensi Harian'!$C$4:$C$153,"Ya"))</f>
        <v/>
      </c>
      <c r="H69" s="13" t="str">
        <f aca="false">IF(B69="","",IFERROR(INDEX(Karyawan!$E$8:$E$37,MATCH(B69,Karyawan!$A$8:$A$37,0)),0))</f>
        <v/>
      </c>
      <c r="I69" s="13" t="str">
        <f aca="false">IF(B69="","",G69*H69)</f>
        <v/>
      </c>
      <c r="J69" s="12" t="str">
        <f aca="false">IF(B69="","",SUMIFS('Absensi Harian'!$D$4:$D$153,'Absensi Harian'!$B$4:$B$153,B69,'Absensi Harian'!$A$4:$A$153,"&gt;="&amp;E69,'Absensi Harian'!$A$4:$A$153,"&lt;="&amp;F69,'Absensi Harian'!$C$4:$C$153,"Ya"))</f>
        <v/>
      </c>
      <c r="K69" s="12" t="str">
        <f aca="false">IF(B69="","",IFERROR(INDEX(Karyawan!$F$8:$F$37,MATCH(B69,Karyawan!$A$8:$A$37,0)),0))</f>
        <v/>
      </c>
      <c r="L69" s="13" t="str">
        <f aca="false">IF(B69="","",J69*K69)</f>
        <v/>
      </c>
      <c r="M69" s="13" t="str">
        <f aca="false">IF(B69="","",IFERROR(INDEX(Karyawan!$H$8:$H$37,MATCH(B69,Karyawan!$A$8:$A$37,0)),0))</f>
        <v/>
      </c>
      <c r="N69" s="17"/>
      <c r="O69" s="17"/>
      <c r="P69" s="19" t="str">
        <f aca="false">IF(B69="","",IFERROR(INDEX(Karyawan!$J$8:$J$37,MATCH(B69,Karyawan!$A$8:$A$37,0)),0))</f>
        <v/>
      </c>
      <c r="Q69" s="13" t="str">
        <f aca="false">IF(B69="","",MAX(0,O69-N69)*P69)</f>
        <v/>
      </c>
      <c r="R69" s="13" t="str">
        <f aca="false">IF(B69="","",IF(D69="Bulanan",M69+Q69,I69+L69))</f>
        <v/>
      </c>
      <c r="S69" s="17"/>
      <c r="T69" s="17"/>
      <c r="U69" s="17"/>
      <c r="V69" s="13" t="str">
        <f aca="false">IF(B69="","",IFERROR(INDEX(Karyawan!$K$8:$K$37,MATCH(B69,Karyawan!$A$8:$A$37,0)),0)-SUMIFS($U$3:$U68,$B$3:$B68,B69))</f>
        <v/>
      </c>
      <c r="W69" s="13" t="str">
        <f aca="false">IF(B69="","",V69-U69)</f>
        <v/>
      </c>
      <c r="X69" s="13" t="str">
        <f aca="false">IF(B69="","",R69-S69-T69-U69)</f>
        <v/>
      </c>
    </row>
    <row r="70" customFormat="false" ht="15" hidden="false" customHeight="false" outlineLevel="0" collapsed="false">
      <c r="A70" s="12" t="str">
        <f aca="false">IF(B70="","",ROW()-2)</f>
        <v/>
      </c>
      <c r="B70" s="16"/>
      <c r="C70" s="12" t="str">
        <f aca="false">IF(B70="","",IFERROR(INDEX(Karyawan!$B$8:$B$37,MATCH(B70,Karyawan!$A$8:$A$37,0)),""))</f>
        <v/>
      </c>
      <c r="D70" s="12" t="str">
        <f aca="false">IF(B70="","",IFERROR(INDEX(Karyawan!$C$8:$C$37,MATCH(B70,Karyawan!$A$8:$A$37,0)),""))</f>
        <v/>
      </c>
      <c r="E70" s="15"/>
      <c r="F70" s="15"/>
      <c r="G70" s="12" t="str">
        <f aca="false">IF(B70="","",COUNTIFS('Absensi Harian'!$B$4:$B$153,B70,'Absensi Harian'!$A$4:$A$153,"&gt;="&amp;E70,'Absensi Harian'!$A$4:$A$153,"&lt;="&amp;F70,'Absensi Harian'!$C$4:$C$153,"Ya"))</f>
        <v/>
      </c>
      <c r="H70" s="13" t="str">
        <f aca="false">IF(B70="","",IFERROR(INDEX(Karyawan!$E$8:$E$37,MATCH(B70,Karyawan!$A$8:$A$37,0)),0))</f>
        <v/>
      </c>
      <c r="I70" s="13" t="str">
        <f aca="false">IF(B70="","",G70*H70)</f>
        <v/>
      </c>
      <c r="J70" s="12" t="str">
        <f aca="false">IF(B70="","",SUMIFS('Absensi Harian'!$D$4:$D$153,'Absensi Harian'!$B$4:$B$153,B70,'Absensi Harian'!$A$4:$A$153,"&gt;="&amp;E70,'Absensi Harian'!$A$4:$A$153,"&lt;="&amp;F70,'Absensi Harian'!$C$4:$C$153,"Ya"))</f>
        <v/>
      </c>
      <c r="K70" s="12" t="str">
        <f aca="false">IF(B70="","",IFERROR(INDEX(Karyawan!$F$8:$F$37,MATCH(B70,Karyawan!$A$8:$A$37,0)),0))</f>
        <v/>
      </c>
      <c r="L70" s="13" t="str">
        <f aca="false">IF(B70="","",J70*K70)</f>
        <v/>
      </c>
      <c r="M70" s="13" t="str">
        <f aca="false">IF(B70="","",IFERROR(INDEX(Karyawan!$H$8:$H$37,MATCH(B70,Karyawan!$A$8:$A$37,0)),0))</f>
        <v/>
      </c>
      <c r="N70" s="17"/>
      <c r="O70" s="17"/>
      <c r="P70" s="19" t="str">
        <f aca="false">IF(B70="","",IFERROR(INDEX(Karyawan!$J$8:$J$37,MATCH(B70,Karyawan!$A$8:$A$37,0)),0))</f>
        <v/>
      </c>
      <c r="Q70" s="13" t="str">
        <f aca="false">IF(B70="","",MAX(0,O70-N70)*P70)</f>
        <v/>
      </c>
      <c r="R70" s="13" t="str">
        <f aca="false">IF(B70="","",IF(D70="Bulanan",M70+Q70,I70+L70))</f>
        <v/>
      </c>
      <c r="S70" s="17"/>
      <c r="T70" s="17"/>
      <c r="U70" s="17"/>
      <c r="V70" s="13" t="str">
        <f aca="false">IF(B70="","",IFERROR(INDEX(Karyawan!$K$8:$K$37,MATCH(B70,Karyawan!$A$8:$A$37,0)),0)-SUMIFS($U$3:$U69,$B$3:$B69,B70))</f>
        <v/>
      </c>
      <c r="W70" s="13" t="str">
        <f aca="false">IF(B70="","",V70-U70)</f>
        <v/>
      </c>
      <c r="X70" s="13" t="str">
        <f aca="false">IF(B70="","",R70-S70-T70-U70)</f>
        <v/>
      </c>
    </row>
    <row r="71" customFormat="false" ht="15" hidden="false" customHeight="false" outlineLevel="0" collapsed="false">
      <c r="A71" s="12" t="str">
        <f aca="false">IF(B71="","",ROW()-2)</f>
        <v/>
      </c>
      <c r="B71" s="16"/>
      <c r="C71" s="12" t="str">
        <f aca="false">IF(B71="","",IFERROR(INDEX(Karyawan!$B$8:$B$37,MATCH(B71,Karyawan!$A$8:$A$37,0)),""))</f>
        <v/>
      </c>
      <c r="D71" s="12" t="str">
        <f aca="false">IF(B71="","",IFERROR(INDEX(Karyawan!$C$8:$C$37,MATCH(B71,Karyawan!$A$8:$A$37,0)),""))</f>
        <v/>
      </c>
      <c r="E71" s="15"/>
      <c r="F71" s="15"/>
      <c r="G71" s="12" t="str">
        <f aca="false">IF(B71="","",COUNTIFS('Absensi Harian'!$B$4:$B$153,B71,'Absensi Harian'!$A$4:$A$153,"&gt;="&amp;E71,'Absensi Harian'!$A$4:$A$153,"&lt;="&amp;F71,'Absensi Harian'!$C$4:$C$153,"Ya"))</f>
        <v/>
      </c>
      <c r="H71" s="13" t="str">
        <f aca="false">IF(B71="","",IFERROR(INDEX(Karyawan!$E$8:$E$37,MATCH(B71,Karyawan!$A$8:$A$37,0)),0))</f>
        <v/>
      </c>
      <c r="I71" s="13" t="str">
        <f aca="false">IF(B71="","",G71*H71)</f>
        <v/>
      </c>
      <c r="J71" s="12" t="str">
        <f aca="false">IF(B71="","",SUMIFS('Absensi Harian'!$D$4:$D$153,'Absensi Harian'!$B$4:$B$153,B71,'Absensi Harian'!$A$4:$A$153,"&gt;="&amp;E71,'Absensi Harian'!$A$4:$A$153,"&lt;="&amp;F71,'Absensi Harian'!$C$4:$C$153,"Ya"))</f>
        <v/>
      </c>
      <c r="K71" s="12" t="str">
        <f aca="false">IF(B71="","",IFERROR(INDEX(Karyawan!$F$8:$F$37,MATCH(B71,Karyawan!$A$8:$A$37,0)),0))</f>
        <v/>
      </c>
      <c r="L71" s="13" t="str">
        <f aca="false">IF(B71="","",J71*K71)</f>
        <v/>
      </c>
      <c r="M71" s="13" t="str">
        <f aca="false">IF(B71="","",IFERROR(INDEX(Karyawan!$H$8:$H$37,MATCH(B71,Karyawan!$A$8:$A$37,0)),0))</f>
        <v/>
      </c>
      <c r="N71" s="17"/>
      <c r="O71" s="17"/>
      <c r="P71" s="19" t="str">
        <f aca="false">IF(B71="","",IFERROR(INDEX(Karyawan!$J$8:$J$37,MATCH(B71,Karyawan!$A$8:$A$37,0)),0))</f>
        <v/>
      </c>
      <c r="Q71" s="13" t="str">
        <f aca="false">IF(B71="","",MAX(0,O71-N71)*P71)</f>
        <v/>
      </c>
      <c r="R71" s="13" t="str">
        <f aca="false">IF(B71="","",IF(D71="Bulanan",M71+Q71,I71+L71))</f>
        <v/>
      </c>
      <c r="S71" s="17"/>
      <c r="T71" s="17"/>
      <c r="U71" s="17"/>
      <c r="V71" s="13" t="str">
        <f aca="false">IF(B71="","",IFERROR(INDEX(Karyawan!$K$8:$K$37,MATCH(B71,Karyawan!$A$8:$A$37,0)),0)-SUMIFS($U$3:$U70,$B$3:$B70,B71))</f>
        <v/>
      </c>
      <c r="W71" s="13" t="str">
        <f aca="false">IF(B71="","",V71-U71)</f>
        <v/>
      </c>
      <c r="X71" s="13" t="str">
        <f aca="false">IF(B71="","",R71-S71-T71-U71)</f>
        <v/>
      </c>
    </row>
    <row r="72" customFormat="false" ht="15" hidden="false" customHeight="false" outlineLevel="0" collapsed="false">
      <c r="A72" s="12" t="str">
        <f aca="false">IF(B72="","",ROW()-2)</f>
        <v/>
      </c>
      <c r="B72" s="16"/>
      <c r="C72" s="12" t="str">
        <f aca="false">IF(B72="","",IFERROR(INDEX(Karyawan!$B$8:$B$37,MATCH(B72,Karyawan!$A$8:$A$37,0)),""))</f>
        <v/>
      </c>
      <c r="D72" s="12" t="str">
        <f aca="false">IF(B72="","",IFERROR(INDEX(Karyawan!$C$8:$C$37,MATCH(B72,Karyawan!$A$8:$A$37,0)),""))</f>
        <v/>
      </c>
      <c r="E72" s="15"/>
      <c r="F72" s="15"/>
      <c r="G72" s="12" t="str">
        <f aca="false">IF(B72="","",COUNTIFS('Absensi Harian'!$B$4:$B$153,B72,'Absensi Harian'!$A$4:$A$153,"&gt;="&amp;E72,'Absensi Harian'!$A$4:$A$153,"&lt;="&amp;F72,'Absensi Harian'!$C$4:$C$153,"Ya"))</f>
        <v/>
      </c>
      <c r="H72" s="13" t="str">
        <f aca="false">IF(B72="","",IFERROR(INDEX(Karyawan!$E$8:$E$37,MATCH(B72,Karyawan!$A$8:$A$37,0)),0))</f>
        <v/>
      </c>
      <c r="I72" s="13" t="str">
        <f aca="false">IF(B72="","",G72*H72)</f>
        <v/>
      </c>
      <c r="J72" s="12" t="str">
        <f aca="false">IF(B72="","",SUMIFS('Absensi Harian'!$D$4:$D$153,'Absensi Harian'!$B$4:$B$153,B72,'Absensi Harian'!$A$4:$A$153,"&gt;="&amp;E72,'Absensi Harian'!$A$4:$A$153,"&lt;="&amp;F72,'Absensi Harian'!$C$4:$C$153,"Ya"))</f>
        <v/>
      </c>
      <c r="K72" s="12" t="str">
        <f aca="false">IF(B72="","",IFERROR(INDEX(Karyawan!$F$8:$F$37,MATCH(B72,Karyawan!$A$8:$A$37,0)),0))</f>
        <v/>
      </c>
      <c r="L72" s="13" t="str">
        <f aca="false">IF(B72="","",J72*K72)</f>
        <v/>
      </c>
      <c r="M72" s="13" t="str">
        <f aca="false">IF(B72="","",IFERROR(INDEX(Karyawan!$H$8:$H$37,MATCH(B72,Karyawan!$A$8:$A$37,0)),0))</f>
        <v/>
      </c>
      <c r="N72" s="17"/>
      <c r="O72" s="17"/>
      <c r="P72" s="19" t="str">
        <f aca="false">IF(B72="","",IFERROR(INDEX(Karyawan!$J$8:$J$37,MATCH(B72,Karyawan!$A$8:$A$37,0)),0))</f>
        <v/>
      </c>
      <c r="Q72" s="13" t="str">
        <f aca="false">IF(B72="","",MAX(0,O72-N72)*P72)</f>
        <v/>
      </c>
      <c r="R72" s="13" t="str">
        <f aca="false">IF(B72="","",IF(D72="Bulanan",M72+Q72,I72+L72))</f>
        <v/>
      </c>
      <c r="S72" s="17"/>
      <c r="T72" s="17"/>
      <c r="U72" s="17"/>
      <c r="V72" s="13" t="str">
        <f aca="false">IF(B72="","",IFERROR(INDEX(Karyawan!$K$8:$K$37,MATCH(B72,Karyawan!$A$8:$A$37,0)),0)-SUMIFS($U$3:$U71,$B$3:$B71,B72))</f>
        <v/>
      </c>
      <c r="W72" s="13" t="str">
        <f aca="false">IF(B72="","",V72-U72)</f>
        <v/>
      </c>
      <c r="X72" s="13" t="str">
        <f aca="false">IF(B72="","",R72-S72-T72-U72)</f>
        <v/>
      </c>
    </row>
    <row r="73" customFormat="false" ht="15" hidden="false" customHeight="false" outlineLevel="0" collapsed="false">
      <c r="A73" s="12" t="str">
        <f aca="false">IF(B73="","",ROW()-2)</f>
        <v/>
      </c>
      <c r="B73" s="16"/>
      <c r="C73" s="12" t="str">
        <f aca="false">IF(B73="","",IFERROR(INDEX(Karyawan!$B$8:$B$37,MATCH(B73,Karyawan!$A$8:$A$37,0)),""))</f>
        <v/>
      </c>
      <c r="D73" s="12" t="str">
        <f aca="false">IF(B73="","",IFERROR(INDEX(Karyawan!$C$8:$C$37,MATCH(B73,Karyawan!$A$8:$A$37,0)),""))</f>
        <v/>
      </c>
      <c r="E73" s="15"/>
      <c r="F73" s="15"/>
      <c r="G73" s="12" t="str">
        <f aca="false">IF(B73="","",COUNTIFS('Absensi Harian'!$B$4:$B$153,B73,'Absensi Harian'!$A$4:$A$153,"&gt;="&amp;E73,'Absensi Harian'!$A$4:$A$153,"&lt;="&amp;F73,'Absensi Harian'!$C$4:$C$153,"Ya"))</f>
        <v/>
      </c>
      <c r="H73" s="13" t="str">
        <f aca="false">IF(B73="","",IFERROR(INDEX(Karyawan!$E$8:$E$37,MATCH(B73,Karyawan!$A$8:$A$37,0)),0))</f>
        <v/>
      </c>
      <c r="I73" s="13" t="str">
        <f aca="false">IF(B73="","",G73*H73)</f>
        <v/>
      </c>
      <c r="J73" s="12" t="str">
        <f aca="false">IF(B73="","",SUMIFS('Absensi Harian'!$D$4:$D$153,'Absensi Harian'!$B$4:$B$153,B73,'Absensi Harian'!$A$4:$A$153,"&gt;="&amp;E73,'Absensi Harian'!$A$4:$A$153,"&lt;="&amp;F73,'Absensi Harian'!$C$4:$C$153,"Ya"))</f>
        <v/>
      </c>
      <c r="K73" s="12" t="str">
        <f aca="false">IF(B73="","",IFERROR(INDEX(Karyawan!$F$8:$F$37,MATCH(B73,Karyawan!$A$8:$A$37,0)),0))</f>
        <v/>
      </c>
      <c r="L73" s="13" t="str">
        <f aca="false">IF(B73="","",J73*K73)</f>
        <v/>
      </c>
      <c r="M73" s="13" t="str">
        <f aca="false">IF(B73="","",IFERROR(INDEX(Karyawan!$H$8:$H$37,MATCH(B73,Karyawan!$A$8:$A$37,0)),0))</f>
        <v/>
      </c>
      <c r="N73" s="17"/>
      <c r="O73" s="17"/>
      <c r="P73" s="19" t="str">
        <f aca="false">IF(B73="","",IFERROR(INDEX(Karyawan!$J$8:$J$37,MATCH(B73,Karyawan!$A$8:$A$37,0)),0))</f>
        <v/>
      </c>
      <c r="Q73" s="13" t="str">
        <f aca="false">IF(B73="","",MAX(0,O73-N73)*P73)</f>
        <v/>
      </c>
      <c r="R73" s="13" t="str">
        <f aca="false">IF(B73="","",IF(D73="Bulanan",M73+Q73,I73+L73))</f>
        <v/>
      </c>
      <c r="S73" s="17"/>
      <c r="T73" s="17"/>
      <c r="U73" s="17"/>
      <c r="V73" s="13" t="str">
        <f aca="false">IF(B73="","",IFERROR(INDEX(Karyawan!$K$8:$K$37,MATCH(B73,Karyawan!$A$8:$A$37,0)),0)-SUMIFS($U$3:$U72,$B$3:$B72,B73))</f>
        <v/>
      </c>
      <c r="W73" s="13" t="str">
        <f aca="false">IF(B73="","",V73-U73)</f>
        <v/>
      </c>
      <c r="X73" s="13" t="str">
        <f aca="false">IF(B73="","",R73-S73-T73-U73)</f>
        <v/>
      </c>
    </row>
    <row r="74" customFormat="false" ht="15" hidden="false" customHeight="false" outlineLevel="0" collapsed="false">
      <c r="A74" s="12" t="str">
        <f aca="false">IF(B74="","",ROW()-2)</f>
        <v/>
      </c>
      <c r="B74" s="16"/>
      <c r="C74" s="12" t="str">
        <f aca="false">IF(B74="","",IFERROR(INDEX(Karyawan!$B$8:$B$37,MATCH(B74,Karyawan!$A$8:$A$37,0)),""))</f>
        <v/>
      </c>
      <c r="D74" s="12" t="str">
        <f aca="false">IF(B74="","",IFERROR(INDEX(Karyawan!$C$8:$C$37,MATCH(B74,Karyawan!$A$8:$A$37,0)),""))</f>
        <v/>
      </c>
      <c r="E74" s="15"/>
      <c r="F74" s="15"/>
      <c r="G74" s="12" t="str">
        <f aca="false">IF(B74="","",COUNTIFS('Absensi Harian'!$B$4:$B$153,B74,'Absensi Harian'!$A$4:$A$153,"&gt;="&amp;E74,'Absensi Harian'!$A$4:$A$153,"&lt;="&amp;F74,'Absensi Harian'!$C$4:$C$153,"Ya"))</f>
        <v/>
      </c>
      <c r="H74" s="13" t="str">
        <f aca="false">IF(B74="","",IFERROR(INDEX(Karyawan!$E$8:$E$37,MATCH(B74,Karyawan!$A$8:$A$37,0)),0))</f>
        <v/>
      </c>
      <c r="I74" s="13" t="str">
        <f aca="false">IF(B74="","",G74*H74)</f>
        <v/>
      </c>
      <c r="J74" s="12" t="str">
        <f aca="false">IF(B74="","",SUMIFS('Absensi Harian'!$D$4:$D$153,'Absensi Harian'!$B$4:$B$153,B74,'Absensi Harian'!$A$4:$A$153,"&gt;="&amp;E74,'Absensi Harian'!$A$4:$A$153,"&lt;="&amp;F74,'Absensi Harian'!$C$4:$C$153,"Ya"))</f>
        <v/>
      </c>
      <c r="K74" s="12" t="str">
        <f aca="false">IF(B74="","",IFERROR(INDEX(Karyawan!$F$8:$F$37,MATCH(B74,Karyawan!$A$8:$A$37,0)),0))</f>
        <v/>
      </c>
      <c r="L74" s="13" t="str">
        <f aca="false">IF(B74="","",J74*K74)</f>
        <v/>
      </c>
      <c r="M74" s="13" t="str">
        <f aca="false">IF(B74="","",IFERROR(INDEX(Karyawan!$H$8:$H$37,MATCH(B74,Karyawan!$A$8:$A$37,0)),0))</f>
        <v/>
      </c>
      <c r="N74" s="17"/>
      <c r="O74" s="17"/>
      <c r="P74" s="19" t="str">
        <f aca="false">IF(B74="","",IFERROR(INDEX(Karyawan!$J$8:$J$37,MATCH(B74,Karyawan!$A$8:$A$37,0)),0))</f>
        <v/>
      </c>
      <c r="Q74" s="13" t="str">
        <f aca="false">IF(B74="","",MAX(0,O74-N74)*P74)</f>
        <v/>
      </c>
      <c r="R74" s="13" t="str">
        <f aca="false">IF(B74="","",IF(D74="Bulanan",M74+Q74,I74+L74))</f>
        <v/>
      </c>
      <c r="S74" s="17"/>
      <c r="T74" s="17"/>
      <c r="U74" s="17"/>
      <c r="V74" s="13" t="str">
        <f aca="false">IF(B74="","",IFERROR(INDEX(Karyawan!$K$8:$K$37,MATCH(B74,Karyawan!$A$8:$A$37,0)),0)-SUMIFS($U$3:$U73,$B$3:$B73,B74))</f>
        <v/>
      </c>
      <c r="W74" s="13" t="str">
        <f aca="false">IF(B74="","",V74-U74)</f>
        <v/>
      </c>
      <c r="X74" s="13" t="str">
        <f aca="false">IF(B74="","",R74-S74-T74-U74)</f>
        <v/>
      </c>
    </row>
    <row r="75" customFormat="false" ht="15" hidden="false" customHeight="false" outlineLevel="0" collapsed="false">
      <c r="A75" s="12" t="str">
        <f aca="false">IF(B75="","",ROW()-2)</f>
        <v/>
      </c>
      <c r="B75" s="16"/>
      <c r="C75" s="12" t="str">
        <f aca="false">IF(B75="","",IFERROR(INDEX(Karyawan!$B$8:$B$37,MATCH(B75,Karyawan!$A$8:$A$37,0)),""))</f>
        <v/>
      </c>
      <c r="D75" s="12" t="str">
        <f aca="false">IF(B75="","",IFERROR(INDEX(Karyawan!$C$8:$C$37,MATCH(B75,Karyawan!$A$8:$A$37,0)),""))</f>
        <v/>
      </c>
      <c r="E75" s="15"/>
      <c r="F75" s="15"/>
      <c r="G75" s="12" t="str">
        <f aca="false">IF(B75="","",COUNTIFS('Absensi Harian'!$B$4:$B$153,B75,'Absensi Harian'!$A$4:$A$153,"&gt;="&amp;E75,'Absensi Harian'!$A$4:$A$153,"&lt;="&amp;F75,'Absensi Harian'!$C$4:$C$153,"Ya"))</f>
        <v/>
      </c>
      <c r="H75" s="13" t="str">
        <f aca="false">IF(B75="","",IFERROR(INDEX(Karyawan!$E$8:$E$37,MATCH(B75,Karyawan!$A$8:$A$37,0)),0))</f>
        <v/>
      </c>
      <c r="I75" s="13" t="str">
        <f aca="false">IF(B75="","",G75*H75)</f>
        <v/>
      </c>
      <c r="J75" s="12" t="str">
        <f aca="false">IF(B75="","",SUMIFS('Absensi Harian'!$D$4:$D$153,'Absensi Harian'!$B$4:$B$153,B75,'Absensi Harian'!$A$4:$A$153,"&gt;="&amp;E75,'Absensi Harian'!$A$4:$A$153,"&lt;="&amp;F75,'Absensi Harian'!$C$4:$C$153,"Ya"))</f>
        <v/>
      </c>
      <c r="K75" s="12" t="str">
        <f aca="false">IF(B75="","",IFERROR(INDEX(Karyawan!$F$8:$F$37,MATCH(B75,Karyawan!$A$8:$A$37,0)),0))</f>
        <v/>
      </c>
      <c r="L75" s="13" t="str">
        <f aca="false">IF(B75="","",J75*K75)</f>
        <v/>
      </c>
      <c r="M75" s="13" t="str">
        <f aca="false">IF(B75="","",IFERROR(INDEX(Karyawan!$H$8:$H$37,MATCH(B75,Karyawan!$A$8:$A$37,0)),0))</f>
        <v/>
      </c>
      <c r="N75" s="17"/>
      <c r="O75" s="17"/>
      <c r="P75" s="19" t="str">
        <f aca="false">IF(B75="","",IFERROR(INDEX(Karyawan!$J$8:$J$37,MATCH(B75,Karyawan!$A$8:$A$37,0)),0))</f>
        <v/>
      </c>
      <c r="Q75" s="13" t="str">
        <f aca="false">IF(B75="","",MAX(0,O75-N75)*P75)</f>
        <v/>
      </c>
      <c r="R75" s="13" t="str">
        <f aca="false">IF(B75="","",IF(D75="Bulanan",M75+Q75,I75+L75))</f>
        <v/>
      </c>
      <c r="S75" s="17"/>
      <c r="T75" s="17"/>
      <c r="U75" s="17"/>
      <c r="V75" s="13" t="str">
        <f aca="false">IF(B75="","",IFERROR(INDEX(Karyawan!$K$8:$K$37,MATCH(B75,Karyawan!$A$8:$A$37,0)),0)-SUMIFS($U$3:$U74,$B$3:$B74,B75))</f>
        <v/>
      </c>
      <c r="W75" s="13" t="str">
        <f aca="false">IF(B75="","",V75-U75)</f>
        <v/>
      </c>
      <c r="X75" s="13" t="str">
        <f aca="false">IF(B75="","",R75-S75-T75-U75)</f>
        <v/>
      </c>
    </row>
    <row r="76" customFormat="false" ht="15" hidden="false" customHeight="false" outlineLevel="0" collapsed="false">
      <c r="A76" s="12" t="str">
        <f aca="false">IF(B76="","",ROW()-2)</f>
        <v/>
      </c>
      <c r="B76" s="16"/>
      <c r="C76" s="12" t="str">
        <f aca="false">IF(B76="","",IFERROR(INDEX(Karyawan!$B$8:$B$37,MATCH(B76,Karyawan!$A$8:$A$37,0)),""))</f>
        <v/>
      </c>
      <c r="D76" s="12" t="str">
        <f aca="false">IF(B76="","",IFERROR(INDEX(Karyawan!$C$8:$C$37,MATCH(B76,Karyawan!$A$8:$A$37,0)),""))</f>
        <v/>
      </c>
      <c r="E76" s="15"/>
      <c r="F76" s="15"/>
      <c r="G76" s="12" t="str">
        <f aca="false">IF(B76="","",COUNTIFS('Absensi Harian'!$B$4:$B$153,B76,'Absensi Harian'!$A$4:$A$153,"&gt;="&amp;E76,'Absensi Harian'!$A$4:$A$153,"&lt;="&amp;F76,'Absensi Harian'!$C$4:$C$153,"Ya"))</f>
        <v/>
      </c>
      <c r="H76" s="13" t="str">
        <f aca="false">IF(B76="","",IFERROR(INDEX(Karyawan!$E$8:$E$37,MATCH(B76,Karyawan!$A$8:$A$37,0)),0))</f>
        <v/>
      </c>
      <c r="I76" s="13" t="str">
        <f aca="false">IF(B76="","",G76*H76)</f>
        <v/>
      </c>
      <c r="J76" s="12" t="str">
        <f aca="false">IF(B76="","",SUMIFS('Absensi Harian'!$D$4:$D$153,'Absensi Harian'!$B$4:$B$153,B76,'Absensi Harian'!$A$4:$A$153,"&gt;="&amp;E76,'Absensi Harian'!$A$4:$A$153,"&lt;="&amp;F76,'Absensi Harian'!$C$4:$C$153,"Ya"))</f>
        <v/>
      </c>
      <c r="K76" s="12" t="str">
        <f aca="false">IF(B76="","",IFERROR(INDEX(Karyawan!$F$8:$F$37,MATCH(B76,Karyawan!$A$8:$A$37,0)),0))</f>
        <v/>
      </c>
      <c r="L76" s="13" t="str">
        <f aca="false">IF(B76="","",J76*K76)</f>
        <v/>
      </c>
      <c r="M76" s="13" t="str">
        <f aca="false">IF(B76="","",IFERROR(INDEX(Karyawan!$H$8:$H$37,MATCH(B76,Karyawan!$A$8:$A$37,0)),0))</f>
        <v/>
      </c>
      <c r="N76" s="17"/>
      <c r="O76" s="17"/>
      <c r="P76" s="19" t="str">
        <f aca="false">IF(B76="","",IFERROR(INDEX(Karyawan!$J$8:$J$37,MATCH(B76,Karyawan!$A$8:$A$37,0)),0))</f>
        <v/>
      </c>
      <c r="Q76" s="13" t="str">
        <f aca="false">IF(B76="","",MAX(0,O76-N76)*P76)</f>
        <v/>
      </c>
      <c r="R76" s="13" t="str">
        <f aca="false">IF(B76="","",IF(D76="Bulanan",M76+Q76,I76+L76))</f>
        <v/>
      </c>
      <c r="S76" s="17"/>
      <c r="T76" s="17"/>
      <c r="U76" s="17"/>
      <c r="V76" s="13" t="str">
        <f aca="false">IF(B76="","",IFERROR(INDEX(Karyawan!$K$8:$K$37,MATCH(B76,Karyawan!$A$8:$A$37,0)),0)-SUMIFS($U$3:$U75,$B$3:$B75,B76))</f>
        <v/>
      </c>
      <c r="W76" s="13" t="str">
        <f aca="false">IF(B76="","",V76-U76)</f>
        <v/>
      </c>
      <c r="X76" s="13" t="str">
        <f aca="false">IF(B76="","",R76-S76-T76-U76)</f>
        <v/>
      </c>
    </row>
    <row r="77" customFormat="false" ht="15" hidden="false" customHeight="false" outlineLevel="0" collapsed="false">
      <c r="A77" s="12" t="str">
        <f aca="false">IF(B77="","",ROW()-2)</f>
        <v/>
      </c>
      <c r="B77" s="16"/>
      <c r="C77" s="12" t="str">
        <f aca="false">IF(B77="","",IFERROR(INDEX(Karyawan!$B$8:$B$37,MATCH(B77,Karyawan!$A$8:$A$37,0)),""))</f>
        <v/>
      </c>
      <c r="D77" s="12" t="str">
        <f aca="false">IF(B77="","",IFERROR(INDEX(Karyawan!$C$8:$C$37,MATCH(B77,Karyawan!$A$8:$A$37,0)),""))</f>
        <v/>
      </c>
      <c r="E77" s="15"/>
      <c r="F77" s="15"/>
      <c r="G77" s="12" t="str">
        <f aca="false">IF(B77="","",COUNTIFS('Absensi Harian'!$B$4:$B$153,B77,'Absensi Harian'!$A$4:$A$153,"&gt;="&amp;E77,'Absensi Harian'!$A$4:$A$153,"&lt;="&amp;F77,'Absensi Harian'!$C$4:$C$153,"Ya"))</f>
        <v/>
      </c>
      <c r="H77" s="13" t="str">
        <f aca="false">IF(B77="","",IFERROR(INDEX(Karyawan!$E$8:$E$37,MATCH(B77,Karyawan!$A$8:$A$37,0)),0))</f>
        <v/>
      </c>
      <c r="I77" s="13" t="str">
        <f aca="false">IF(B77="","",G77*H77)</f>
        <v/>
      </c>
      <c r="J77" s="12" t="str">
        <f aca="false">IF(B77="","",SUMIFS('Absensi Harian'!$D$4:$D$153,'Absensi Harian'!$B$4:$B$153,B77,'Absensi Harian'!$A$4:$A$153,"&gt;="&amp;E77,'Absensi Harian'!$A$4:$A$153,"&lt;="&amp;F77,'Absensi Harian'!$C$4:$C$153,"Ya"))</f>
        <v/>
      </c>
      <c r="K77" s="12" t="str">
        <f aca="false">IF(B77="","",IFERROR(INDEX(Karyawan!$F$8:$F$37,MATCH(B77,Karyawan!$A$8:$A$37,0)),0))</f>
        <v/>
      </c>
      <c r="L77" s="13" t="str">
        <f aca="false">IF(B77="","",J77*K77)</f>
        <v/>
      </c>
      <c r="M77" s="13" t="str">
        <f aca="false">IF(B77="","",IFERROR(INDEX(Karyawan!$H$8:$H$37,MATCH(B77,Karyawan!$A$8:$A$37,0)),0))</f>
        <v/>
      </c>
      <c r="N77" s="17"/>
      <c r="O77" s="17"/>
      <c r="P77" s="19" t="str">
        <f aca="false">IF(B77="","",IFERROR(INDEX(Karyawan!$J$8:$J$37,MATCH(B77,Karyawan!$A$8:$A$37,0)),0))</f>
        <v/>
      </c>
      <c r="Q77" s="13" t="str">
        <f aca="false">IF(B77="","",MAX(0,O77-N77)*P77)</f>
        <v/>
      </c>
      <c r="R77" s="13" t="str">
        <f aca="false">IF(B77="","",IF(D77="Bulanan",M77+Q77,I77+L77))</f>
        <v/>
      </c>
      <c r="S77" s="17"/>
      <c r="T77" s="17"/>
      <c r="U77" s="17"/>
      <c r="V77" s="13" t="str">
        <f aca="false">IF(B77="","",IFERROR(INDEX(Karyawan!$K$8:$K$37,MATCH(B77,Karyawan!$A$8:$A$37,0)),0)-SUMIFS($U$3:$U76,$B$3:$B76,B77))</f>
        <v/>
      </c>
      <c r="W77" s="13" t="str">
        <f aca="false">IF(B77="","",V77-U77)</f>
        <v/>
      </c>
      <c r="X77" s="13" t="str">
        <f aca="false">IF(B77="","",R77-S77-T77-U77)</f>
        <v/>
      </c>
    </row>
    <row r="78" customFormat="false" ht="15" hidden="false" customHeight="false" outlineLevel="0" collapsed="false">
      <c r="A78" s="12" t="str">
        <f aca="false">IF(B78="","",ROW()-2)</f>
        <v/>
      </c>
      <c r="B78" s="16"/>
      <c r="C78" s="12" t="str">
        <f aca="false">IF(B78="","",IFERROR(INDEX(Karyawan!$B$8:$B$37,MATCH(B78,Karyawan!$A$8:$A$37,0)),""))</f>
        <v/>
      </c>
      <c r="D78" s="12" t="str">
        <f aca="false">IF(B78="","",IFERROR(INDEX(Karyawan!$C$8:$C$37,MATCH(B78,Karyawan!$A$8:$A$37,0)),""))</f>
        <v/>
      </c>
      <c r="E78" s="15"/>
      <c r="F78" s="15"/>
      <c r="G78" s="12" t="str">
        <f aca="false">IF(B78="","",COUNTIFS('Absensi Harian'!$B$4:$B$153,B78,'Absensi Harian'!$A$4:$A$153,"&gt;="&amp;E78,'Absensi Harian'!$A$4:$A$153,"&lt;="&amp;F78,'Absensi Harian'!$C$4:$C$153,"Ya"))</f>
        <v/>
      </c>
      <c r="H78" s="13" t="str">
        <f aca="false">IF(B78="","",IFERROR(INDEX(Karyawan!$E$8:$E$37,MATCH(B78,Karyawan!$A$8:$A$37,0)),0))</f>
        <v/>
      </c>
      <c r="I78" s="13" t="str">
        <f aca="false">IF(B78="","",G78*H78)</f>
        <v/>
      </c>
      <c r="J78" s="12" t="str">
        <f aca="false">IF(B78="","",SUMIFS('Absensi Harian'!$D$4:$D$153,'Absensi Harian'!$B$4:$B$153,B78,'Absensi Harian'!$A$4:$A$153,"&gt;="&amp;E78,'Absensi Harian'!$A$4:$A$153,"&lt;="&amp;F78,'Absensi Harian'!$C$4:$C$153,"Ya"))</f>
        <v/>
      </c>
      <c r="K78" s="12" t="str">
        <f aca="false">IF(B78="","",IFERROR(INDEX(Karyawan!$F$8:$F$37,MATCH(B78,Karyawan!$A$8:$A$37,0)),0))</f>
        <v/>
      </c>
      <c r="L78" s="13" t="str">
        <f aca="false">IF(B78="","",J78*K78)</f>
        <v/>
      </c>
      <c r="M78" s="13" t="str">
        <f aca="false">IF(B78="","",IFERROR(INDEX(Karyawan!$H$8:$H$37,MATCH(B78,Karyawan!$A$8:$A$37,0)),0))</f>
        <v/>
      </c>
      <c r="N78" s="17"/>
      <c r="O78" s="17"/>
      <c r="P78" s="19" t="str">
        <f aca="false">IF(B78="","",IFERROR(INDEX(Karyawan!$J$8:$J$37,MATCH(B78,Karyawan!$A$8:$A$37,0)),0))</f>
        <v/>
      </c>
      <c r="Q78" s="13" t="str">
        <f aca="false">IF(B78="","",MAX(0,O78-N78)*P78)</f>
        <v/>
      </c>
      <c r="R78" s="13" t="str">
        <f aca="false">IF(B78="","",IF(D78="Bulanan",M78+Q78,I78+L78))</f>
        <v/>
      </c>
      <c r="S78" s="17"/>
      <c r="T78" s="17"/>
      <c r="U78" s="17"/>
      <c r="V78" s="13" t="str">
        <f aca="false">IF(B78="","",IFERROR(INDEX(Karyawan!$K$8:$K$37,MATCH(B78,Karyawan!$A$8:$A$37,0)),0)-SUMIFS($U$3:$U77,$B$3:$B77,B78))</f>
        <v/>
      </c>
      <c r="W78" s="13" t="str">
        <f aca="false">IF(B78="","",V78-U78)</f>
        <v/>
      </c>
      <c r="X78" s="13" t="str">
        <f aca="false">IF(B78="","",R78-S78-T78-U78)</f>
        <v/>
      </c>
    </row>
    <row r="79" customFormat="false" ht="15" hidden="false" customHeight="false" outlineLevel="0" collapsed="false">
      <c r="A79" s="12" t="str">
        <f aca="false">IF(B79="","",ROW()-2)</f>
        <v/>
      </c>
      <c r="B79" s="16"/>
      <c r="C79" s="12" t="str">
        <f aca="false">IF(B79="","",IFERROR(INDEX(Karyawan!$B$8:$B$37,MATCH(B79,Karyawan!$A$8:$A$37,0)),""))</f>
        <v/>
      </c>
      <c r="D79" s="12" t="str">
        <f aca="false">IF(B79="","",IFERROR(INDEX(Karyawan!$C$8:$C$37,MATCH(B79,Karyawan!$A$8:$A$37,0)),""))</f>
        <v/>
      </c>
      <c r="E79" s="15"/>
      <c r="F79" s="15"/>
      <c r="G79" s="12" t="str">
        <f aca="false">IF(B79="","",COUNTIFS('Absensi Harian'!$B$4:$B$153,B79,'Absensi Harian'!$A$4:$A$153,"&gt;="&amp;E79,'Absensi Harian'!$A$4:$A$153,"&lt;="&amp;F79,'Absensi Harian'!$C$4:$C$153,"Ya"))</f>
        <v/>
      </c>
      <c r="H79" s="13" t="str">
        <f aca="false">IF(B79="","",IFERROR(INDEX(Karyawan!$E$8:$E$37,MATCH(B79,Karyawan!$A$8:$A$37,0)),0))</f>
        <v/>
      </c>
      <c r="I79" s="13" t="str">
        <f aca="false">IF(B79="","",G79*H79)</f>
        <v/>
      </c>
      <c r="J79" s="12" t="str">
        <f aca="false">IF(B79="","",SUMIFS('Absensi Harian'!$D$4:$D$153,'Absensi Harian'!$B$4:$B$153,B79,'Absensi Harian'!$A$4:$A$153,"&gt;="&amp;E79,'Absensi Harian'!$A$4:$A$153,"&lt;="&amp;F79,'Absensi Harian'!$C$4:$C$153,"Ya"))</f>
        <v/>
      </c>
      <c r="K79" s="12" t="str">
        <f aca="false">IF(B79="","",IFERROR(INDEX(Karyawan!$F$8:$F$37,MATCH(B79,Karyawan!$A$8:$A$37,0)),0))</f>
        <v/>
      </c>
      <c r="L79" s="13" t="str">
        <f aca="false">IF(B79="","",J79*K79)</f>
        <v/>
      </c>
      <c r="M79" s="13" t="str">
        <f aca="false">IF(B79="","",IFERROR(INDEX(Karyawan!$H$8:$H$37,MATCH(B79,Karyawan!$A$8:$A$37,0)),0))</f>
        <v/>
      </c>
      <c r="N79" s="17"/>
      <c r="O79" s="17"/>
      <c r="P79" s="19" t="str">
        <f aca="false">IF(B79="","",IFERROR(INDEX(Karyawan!$J$8:$J$37,MATCH(B79,Karyawan!$A$8:$A$37,0)),0))</f>
        <v/>
      </c>
      <c r="Q79" s="13" t="str">
        <f aca="false">IF(B79="","",MAX(0,O79-N79)*P79)</f>
        <v/>
      </c>
      <c r="R79" s="13" t="str">
        <f aca="false">IF(B79="","",IF(D79="Bulanan",M79+Q79,I79+L79))</f>
        <v/>
      </c>
      <c r="S79" s="17"/>
      <c r="T79" s="17"/>
      <c r="U79" s="17"/>
      <c r="V79" s="13" t="str">
        <f aca="false">IF(B79="","",IFERROR(INDEX(Karyawan!$K$8:$K$37,MATCH(B79,Karyawan!$A$8:$A$37,0)),0)-SUMIFS($U$3:$U78,$B$3:$B78,B79))</f>
        <v/>
      </c>
      <c r="W79" s="13" t="str">
        <f aca="false">IF(B79="","",V79-U79)</f>
        <v/>
      </c>
      <c r="X79" s="13" t="str">
        <f aca="false">IF(B79="","",R79-S79-T79-U79)</f>
        <v/>
      </c>
    </row>
    <row r="80" customFormat="false" ht="15" hidden="false" customHeight="false" outlineLevel="0" collapsed="false">
      <c r="A80" s="12" t="str">
        <f aca="false">IF(B80="","",ROW()-2)</f>
        <v/>
      </c>
      <c r="B80" s="16"/>
      <c r="C80" s="12" t="str">
        <f aca="false">IF(B80="","",IFERROR(INDEX(Karyawan!$B$8:$B$37,MATCH(B80,Karyawan!$A$8:$A$37,0)),""))</f>
        <v/>
      </c>
      <c r="D80" s="12" t="str">
        <f aca="false">IF(B80="","",IFERROR(INDEX(Karyawan!$C$8:$C$37,MATCH(B80,Karyawan!$A$8:$A$37,0)),""))</f>
        <v/>
      </c>
      <c r="E80" s="15"/>
      <c r="F80" s="15"/>
      <c r="G80" s="12" t="str">
        <f aca="false">IF(B80="","",COUNTIFS('Absensi Harian'!$B$4:$B$153,B80,'Absensi Harian'!$A$4:$A$153,"&gt;="&amp;E80,'Absensi Harian'!$A$4:$A$153,"&lt;="&amp;F80,'Absensi Harian'!$C$4:$C$153,"Ya"))</f>
        <v/>
      </c>
      <c r="H80" s="13" t="str">
        <f aca="false">IF(B80="","",IFERROR(INDEX(Karyawan!$E$8:$E$37,MATCH(B80,Karyawan!$A$8:$A$37,0)),0))</f>
        <v/>
      </c>
      <c r="I80" s="13" t="str">
        <f aca="false">IF(B80="","",G80*H80)</f>
        <v/>
      </c>
      <c r="J80" s="12" t="str">
        <f aca="false">IF(B80="","",SUMIFS('Absensi Harian'!$D$4:$D$153,'Absensi Harian'!$B$4:$B$153,B80,'Absensi Harian'!$A$4:$A$153,"&gt;="&amp;E80,'Absensi Harian'!$A$4:$A$153,"&lt;="&amp;F80,'Absensi Harian'!$C$4:$C$153,"Ya"))</f>
        <v/>
      </c>
      <c r="K80" s="12" t="str">
        <f aca="false">IF(B80="","",IFERROR(INDEX(Karyawan!$F$8:$F$37,MATCH(B80,Karyawan!$A$8:$A$37,0)),0))</f>
        <v/>
      </c>
      <c r="L80" s="13" t="str">
        <f aca="false">IF(B80="","",J80*K80)</f>
        <v/>
      </c>
      <c r="M80" s="13" t="str">
        <f aca="false">IF(B80="","",IFERROR(INDEX(Karyawan!$H$8:$H$37,MATCH(B80,Karyawan!$A$8:$A$37,0)),0))</f>
        <v/>
      </c>
      <c r="N80" s="17"/>
      <c r="O80" s="17"/>
      <c r="P80" s="19" t="str">
        <f aca="false">IF(B80="","",IFERROR(INDEX(Karyawan!$J$8:$J$37,MATCH(B80,Karyawan!$A$8:$A$37,0)),0))</f>
        <v/>
      </c>
      <c r="Q80" s="13" t="str">
        <f aca="false">IF(B80="","",MAX(0,O80-N80)*P80)</f>
        <v/>
      </c>
      <c r="R80" s="13" t="str">
        <f aca="false">IF(B80="","",IF(D80="Bulanan",M80+Q80,I80+L80))</f>
        <v/>
      </c>
      <c r="S80" s="17"/>
      <c r="T80" s="17"/>
      <c r="U80" s="17"/>
      <c r="V80" s="13" t="str">
        <f aca="false">IF(B80="","",IFERROR(INDEX(Karyawan!$K$8:$K$37,MATCH(B80,Karyawan!$A$8:$A$37,0)),0)-SUMIFS($U$3:$U79,$B$3:$B79,B80))</f>
        <v/>
      </c>
      <c r="W80" s="13" t="str">
        <f aca="false">IF(B80="","",V80-U80)</f>
        <v/>
      </c>
      <c r="X80" s="13" t="str">
        <f aca="false">IF(B80="","",R80-S80-T80-U80)</f>
        <v/>
      </c>
    </row>
    <row r="81" customFormat="false" ht="15" hidden="false" customHeight="false" outlineLevel="0" collapsed="false">
      <c r="A81" s="12" t="str">
        <f aca="false">IF(B81="","",ROW()-2)</f>
        <v/>
      </c>
      <c r="B81" s="16"/>
      <c r="C81" s="12" t="str">
        <f aca="false">IF(B81="","",IFERROR(INDEX(Karyawan!$B$8:$B$37,MATCH(B81,Karyawan!$A$8:$A$37,0)),""))</f>
        <v/>
      </c>
      <c r="D81" s="12" t="str">
        <f aca="false">IF(B81="","",IFERROR(INDEX(Karyawan!$C$8:$C$37,MATCH(B81,Karyawan!$A$8:$A$37,0)),""))</f>
        <v/>
      </c>
      <c r="E81" s="15"/>
      <c r="F81" s="15"/>
      <c r="G81" s="12" t="str">
        <f aca="false">IF(B81="","",COUNTIFS('Absensi Harian'!$B$4:$B$153,B81,'Absensi Harian'!$A$4:$A$153,"&gt;="&amp;E81,'Absensi Harian'!$A$4:$A$153,"&lt;="&amp;F81,'Absensi Harian'!$C$4:$C$153,"Ya"))</f>
        <v/>
      </c>
      <c r="H81" s="13" t="str">
        <f aca="false">IF(B81="","",IFERROR(INDEX(Karyawan!$E$8:$E$37,MATCH(B81,Karyawan!$A$8:$A$37,0)),0))</f>
        <v/>
      </c>
      <c r="I81" s="13" t="str">
        <f aca="false">IF(B81="","",G81*H81)</f>
        <v/>
      </c>
      <c r="J81" s="12" t="str">
        <f aca="false">IF(B81="","",SUMIFS('Absensi Harian'!$D$4:$D$153,'Absensi Harian'!$B$4:$B$153,B81,'Absensi Harian'!$A$4:$A$153,"&gt;="&amp;E81,'Absensi Harian'!$A$4:$A$153,"&lt;="&amp;F81,'Absensi Harian'!$C$4:$C$153,"Ya"))</f>
        <v/>
      </c>
      <c r="K81" s="12" t="str">
        <f aca="false">IF(B81="","",IFERROR(INDEX(Karyawan!$F$8:$F$37,MATCH(B81,Karyawan!$A$8:$A$37,0)),0))</f>
        <v/>
      </c>
      <c r="L81" s="13" t="str">
        <f aca="false">IF(B81="","",J81*K81)</f>
        <v/>
      </c>
      <c r="M81" s="13" t="str">
        <f aca="false">IF(B81="","",IFERROR(INDEX(Karyawan!$H$8:$H$37,MATCH(B81,Karyawan!$A$8:$A$37,0)),0))</f>
        <v/>
      </c>
      <c r="N81" s="17"/>
      <c r="O81" s="17"/>
      <c r="P81" s="19" t="str">
        <f aca="false">IF(B81="","",IFERROR(INDEX(Karyawan!$J$8:$J$37,MATCH(B81,Karyawan!$A$8:$A$37,0)),0))</f>
        <v/>
      </c>
      <c r="Q81" s="13" t="str">
        <f aca="false">IF(B81="","",MAX(0,O81-N81)*P81)</f>
        <v/>
      </c>
      <c r="R81" s="13" t="str">
        <f aca="false">IF(B81="","",IF(D81="Bulanan",M81+Q81,I81+L81))</f>
        <v/>
      </c>
      <c r="S81" s="17"/>
      <c r="T81" s="17"/>
      <c r="U81" s="17"/>
      <c r="V81" s="13" t="str">
        <f aca="false">IF(B81="","",IFERROR(INDEX(Karyawan!$K$8:$K$37,MATCH(B81,Karyawan!$A$8:$A$37,0)),0)-SUMIFS($U$3:$U80,$B$3:$B80,B81))</f>
        <v/>
      </c>
      <c r="W81" s="13" t="str">
        <f aca="false">IF(B81="","",V81-U81)</f>
        <v/>
      </c>
      <c r="X81" s="13" t="str">
        <f aca="false">IF(B81="","",R81-S81-T81-U81)</f>
        <v/>
      </c>
    </row>
    <row r="82" customFormat="false" ht="15" hidden="false" customHeight="false" outlineLevel="0" collapsed="false">
      <c r="A82" s="12" t="str">
        <f aca="false">IF(B82="","",ROW()-2)</f>
        <v/>
      </c>
      <c r="B82" s="16"/>
      <c r="C82" s="12" t="str">
        <f aca="false">IF(B82="","",IFERROR(INDEX(Karyawan!$B$8:$B$37,MATCH(B82,Karyawan!$A$8:$A$37,0)),""))</f>
        <v/>
      </c>
      <c r="D82" s="12" t="str">
        <f aca="false">IF(B82="","",IFERROR(INDEX(Karyawan!$C$8:$C$37,MATCH(B82,Karyawan!$A$8:$A$37,0)),""))</f>
        <v/>
      </c>
      <c r="E82" s="15"/>
      <c r="F82" s="15"/>
      <c r="G82" s="12" t="str">
        <f aca="false">IF(B82="","",COUNTIFS('Absensi Harian'!$B$4:$B$153,B82,'Absensi Harian'!$A$4:$A$153,"&gt;="&amp;E82,'Absensi Harian'!$A$4:$A$153,"&lt;="&amp;F82,'Absensi Harian'!$C$4:$C$153,"Ya"))</f>
        <v/>
      </c>
      <c r="H82" s="13" t="str">
        <f aca="false">IF(B82="","",IFERROR(INDEX(Karyawan!$E$8:$E$37,MATCH(B82,Karyawan!$A$8:$A$37,0)),0))</f>
        <v/>
      </c>
      <c r="I82" s="13" t="str">
        <f aca="false">IF(B82="","",G82*H82)</f>
        <v/>
      </c>
      <c r="J82" s="12" t="str">
        <f aca="false">IF(B82="","",SUMIFS('Absensi Harian'!$D$4:$D$153,'Absensi Harian'!$B$4:$B$153,B82,'Absensi Harian'!$A$4:$A$153,"&gt;="&amp;E82,'Absensi Harian'!$A$4:$A$153,"&lt;="&amp;F82,'Absensi Harian'!$C$4:$C$153,"Ya"))</f>
        <v/>
      </c>
      <c r="K82" s="12" t="str">
        <f aca="false">IF(B82="","",IFERROR(INDEX(Karyawan!$F$8:$F$37,MATCH(B82,Karyawan!$A$8:$A$37,0)),0))</f>
        <v/>
      </c>
      <c r="L82" s="13" t="str">
        <f aca="false">IF(B82="","",J82*K82)</f>
        <v/>
      </c>
      <c r="M82" s="13" t="str">
        <f aca="false">IF(B82="","",IFERROR(INDEX(Karyawan!$H$8:$H$37,MATCH(B82,Karyawan!$A$8:$A$37,0)),0))</f>
        <v/>
      </c>
      <c r="N82" s="17"/>
      <c r="O82" s="17"/>
      <c r="P82" s="19" t="str">
        <f aca="false">IF(B82="","",IFERROR(INDEX(Karyawan!$J$8:$J$37,MATCH(B82,Karyawan!$A$8:$A$37,0)),0))</f>
        <v/>
      </c>
      <c r="Q82" s="13" t="str">
        <f aca="false">IF(B82="","",MAX(0,O82-N82)*P82)</f>
        <v/>
      </c>
      <c r="R82" s="13" t="str">
        <f aca="false">IF(B82="","",IF(D82="Bulanan",M82+Q82,I82+L82))</f>
        <v/>
      </c>
      <c r="S82" s="17"/>
      <c r="T82" s="17"/>
      <c r="U82" s="17"/>
      <c r="V82" s="13" t="str">
        <f aca="false">IF(B82="","",IFERROR(INDEX(Karyawan!$K$8:$K$37,MATCH(B82,Karyawan!$A$8:$A$37,0)),0)-SUMIFS($U$3:$U81,$B$3:$B81,B82))</f>
        <v/>
      </c>
      <c r="W82" s="13" t="str">
        <f aca="false">IF(B82="","",V82-U82)</f>
        <v/>
      </c>
      <c r="X82" s="13" t="str">
        <f aca="false">IF(B82="","",R82-S82-T82-U82)</f>
        <v/>
      </c>
    </row>
  </sheetData>
  <dataValidations count="1">
    <dataValidation allowBlank="true" errorStyle="stop" operator="between" showDropDown="false" showErrorMessage="false" showInputMessage="false" sqref="B3:B82" type="list">
      <formula1>Karyawan!$A$8:$A$37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0B0B"/>
    <pageSetUpPr fitToPage="false"/>
  </sheetPr>
  <dimension ref="A2:C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4"/>
  </cols>
  <sheetData>
    <row r="2" customFormat="false" ht="15" hidden="false" customHeight="false" outlineLevel="0" collapsed="false">
      <c r="B2" s="8" t="s">
        <v>135</v>
      </c>
      <c r="C2" s="22"/>
    </row>
    <row r="5" customFormat="false" ht="17.35" hidden="false" customHeight="false" outlineLevel="0" collapsed="false">
      <c r="A5" s="23" t="str">
        <f aca="false">CompanyName</f>
        <v>CV Mitra Creative</v>
      </c>
    </row>
    <row r="6" customFormat="false" ht="15" hidden="false" customHeight="false" outlineLevel="0" collapsed="false">
      <c r="A6" s="24" t="str">
        <f aca="false">CompanyAddress&amp;" - "&amp;CompanyPhone</f>
        <v>Jl. Taman Asri No. 15, Pedurungan Tengah, Semarang - 0895811220203</v>
      </c>
    </row>
    <row r="8" customFormat="false" ht="15" hidden="false" customHeight="false" outlineLevel="0" collapsed="false">
      <c r="A8" s="25" t="s">
        <v>136</v>
      </c>
    </row>
    <row r="10" customFormat="false" ht="15" hidden="false" customHeight="false" outlineLevel="0" collapsed="false">
      <c r="A10" s="0" t="s">
        <v>101</v>
      </c>
      <c r="B10" s="12" t="str">
        <f aca="false">IF($C$2="","",IFERROR(INDEX('Penggajian &amp; Slip Gaji'!$B$3:$B$82,MATCH($C$2,'Penggajian &amp; Slip Gaji'!$A$3:$A$82,0)),""))</f>
        <v/>
      </c>
    </row>
    <row r="11" customFormat="false" ht="15" hidden="false" customHeight="false" outlineLevel="0" collapsed="false">
      <c r="A11" s="0" t="s">
        <v>102</v>
      </c>
      <c r="B11" s="12" t="str">
        <f aca="false">IF($C$2="","",IFERROR(INDEX('Penggajian &amp; Slip Gaji'!$C$3:$C$82,MATCH($C$2,'Penggajian &amp; Slip Gaji'!$A$3:$A$82,0)),""))</f>
        <v/>
      </c>
    </row>
    <row r="12" customFormat="false" ht="15" hidden="false" customHeight="false" outlineLevel="0" collapsed="false">
      <c r="A12" s="0" t="s">
        <v>119</v>
      </c>
      <c r="B12" s="11" t="str">
        <f aca="false">IF($C$2="","",IFERROR(INDEX('Penggajian &amp; Slip Gaji'!$E$3:$E$82,MATCH($C$2,'Penggajian &amp; Slip Gaji'!$A$3:$A$82,0)),""))</f>
        <v/>
      </c>
    </row>
    <row r="13" customFormat="false" ht="15" hidden="false" customHeight="false" outlineLevel="0" collapsed="false">
      <c r="A13" s="0" t="s">
        <v>120</v>
      </c>
      <c r="B13" s="11" t="str">
        <f aca="false">IF($C$2="","",IFERROR(INDEX('Penggajian &amp; Slip Gaji'!$F$3:$F$82,MATCH($C$2,'Penggajian &amp; Slip Gaji'!$A$3:$A$82,0)),""))</f>
        <v/>
      </c>
    </row>
    <row r="15" customFormat="false" ht="15" hidden="false" customHeight="false" outlineLevel="0" collapsed="false">
      <c r="A15" s="0" t="s">
        <v>128</v>
      </c>
      <c r="B15" s="26" t="str">
        <f aca="false">IF($C$2="","",IFERROR(INDEX('Penggajian &amp; Slip Gaji'!$R$3:$R$82,MATCH($C$2,'Penggajian &amp; Slip Gaji'!$A$3:$A$82,0)),""))</f>
        <v/>
      </c>
    </row>
    <row r="16" customFormat="false" ht="15" hidden="false" customHeight="false" outlineLevel="0" collapsed="false">
      <c r="A16" s="0" t="s">
        <v>129</v>
      </c>
      <c r="B16" s="26" t="str">
        <f aca="false">IF($C$2="","",IFERROR(INDEX('Penggajian &amp; Slip Gaji'!$S$3:$S$82,MATCH($C$2,'Penggajian &amp; Slip Gaji'!$A$3:$A$82,0)),""))</f>
        <v/>
      </c>
    </row>
    <row r="17" customFormat="false" ht="15" hidden="false" customHeight="false" outlineLevel="0" collapsed="false">
      <c r="A17" s="0" t="s">
        <v>130</v>
      </c>
      <c r="B17" s="26" t="str">
        <f aca="false">IF($C$2="","",IFERROR(INDEX('Penggajian &amp; Slip Gaji'!$T$3:$T$82,MATCH($C$2,'Penggajian &amp; Slip Gaji'!$A$3:$A$82,0)),""))</f>
        <v/>
      </c>
    </row>
    <row r="18" customFormat="false" ht="15" hidden="false" customHeight="false" outlineLevel="0" collapsed="false">
      <c r="A18" s="0" t="s">
        <v>131</v>
      </c>
      <c r="B18" s="26" t="str">
        <f aca="false">IF($C$2="","",IFERROR(INDEX('Penggajian &amp; Slip Gaji'!$U$3:$U$82,MATCH($C$2,'Penggajian &amp; Slip Gaji'!$A$3:$A$82,0)),""))</f>
        <v/>
      </c>
    </row>
    <row r="19" customFormat="false" ht="15" hidden="false" customHeight="false" outlineLevel="0" collapsed="false">
      <c r="A19" s="0" t="s">
        <v>137</v>
      </c>
      <c r="B19" s="26" t="str">
        <f aca="false">IF($C$2="","",IFERROR(INDEX('Penggajian &amp; Slip Gaji'!$V$3:$V$82,MATCH($C$2,'Penggajian &amp; Slip Gaji'!$A$3:$A$82,0)),""))</f>
        <v/>
      </c>
    </row>
    <row r="20" customFormat="false" ht="15" hidden="false" customHeight="false" outlineLevel="0" collapsed="false">
      <c r="A20" s="0" t="s">
        <v>138</v>
      </c>
      <c r="B20" s="26" t="str">
        <f aca="false">IF($C$2="","",IFERROR(INDEX('Penggajian &amp; Slip Gaji'!$W$3:$W$82,MATCH($C$2,'Penggajian &amp; Slip Gaji'!$A$3:$A$82,0)),""))</f>
        <v/>
      </c>
    </row>
    <row r="21" customFormat="false" ht="15" hidden="false" customHeight="false" outlineLevel="0" collapsed="false">
      <c r="A21" s="0" t="s">
        <v>139</v>
      </c>
      <c r="B21" s="27" t="str">
        <f aca="false">IF($C$2="","",IFERROR(INDEX('Penggajian &amp; Slip Gaji'!$X$3:$X$82,MATCH($C$2,'Penggajian &amp; Slip Gaji'!$A$3:$A$82,0)),""))</f>
        <v/>
      </c>
    </row>
    <row r="23" customFormat="false" ht="15" hidden="false" customHeight="false" outlineLevel="0" collapsed="false">
      <c r="A23" s="0" t="str">
        <f aca="false">OwnerName</f>
        <v>Aditya Khresna</v>
      </c>
    </row>
    <row r="24" customFormat="false" ht="15" hidden="false" customHeight="false" outlineLevel="0" collapsed="false">
      <c r="A24" s="0" t="str">
        <f aca="false">OwnerJabatan</f>
        <v>Owner / Direktur</v>
      </c>
    </row>
  </sheetData>
  <dataValidations count="1">
    <dataValidation allowBlank="true" errorStyle="stop" operator="between" showDropDown="false" showErrorMessage="false" showInputMessage="false" sqref="C2" type="list">
      <formula1>'Penggajian &amp; Slip Gaji'!$A$3:$A$82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78D6"/>
    <pageSetUpPr fitToPage="false"/>
  </sheetPr>
  <dimension ref="A1:I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6" min="5" style="0" width="13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2"/>
  </cols>
  <sheetData>
    <row r="1" customFormat="false" ht="19.7" hidden="false" customHeight="false" outlineLevel="0" collapsed="false">
      <c r="A1" s="1" t="s">
        <v>140</v>
      </c>
    </row>
    <row r="2" customFormat="false" ht="15" hidden="false" customHeight="false" outlineLevel="0" collapsed="false">
      <c r="A2" s="2" t="s">
        <v>141</v>
      </c>
    </row>
    <row r="3" customFormat="false" ht="15" hidden="false" customHeight="false" outlineLevel="0" collapsed="false">
      <c r="B3" s="3" t="s">
        <v>142</v>
      </c>
      <c r="C3" s="3" t="s">
        <v>143</v>
      </c>
      <c r="D3" s="3" t="s">
        <v>144</v>
      </c>
      <c r="E3" s="3" t="s">
        <v>145</v>
      </c>
    </row>
    <row r="4" customFormat="false" ht="21.75" hidden="false" customHeight="true" outlineLevel="0" collapsed="false">
      <c r="B4" s="20" t="n">
        <f aca="false">COUNTA(A8:A47)</f>
        <v>0</v>
      </c>
      <c r="C4" s="5" t="n">
        <f aca="false">SUM(H8:H47)</f>
        <v>0</v>
      </c>
      <c r="D4" s="28" t="n">
        <f aca="false">COUNTIF(I8:I47,"Hampir Habis")</f>
        <v>0</v>
      </c>
      <c r="E4" s="20" t="n">
        <f aca="false">COUNTIF(I8:I47,"Habis")</f>
        <v>0</v>
      </c>
    </row>
    <row r="7" customFormat="false" ht="27.75" hidden="false" customHeight="true" outlineLevel="0" collapsed="false">
      <c r="A7" s="9" t="s">
        <v>146</v>
      </c>
      <c r="B7" s="10" t="s">
        <v>6</v>
      </c>
      <c r="C7" s="10" t="s">
        <v>147</v>
      </c>
      <c r="D7" s="10" t="s">
        <v>148</v>
      </c>
      <c r="E7" s="10" t="s">
        <v>149</v>
      </c>
      <c r="F7" s="10" t="s">
        <v>150</v>
      </c>
      <c r="G7" s="10" t="s">
        <v>151</v>
      </c>
      <c r="H7" s="10" t="s">
        <v>152</v>
      </c>
      <c r="I7" s="10" t="s">
        <v>26</v>
      </c>
    </row>
    <row r="8" customFormat="false" ht="15" hidden="false" customHeight="false" outlineLevel="0" collapsed="false">
      <c r="A8" s="16"/>
      <c r="B8" s="16"/>
      <c r="C8" s="16"/>
      <c r="D8" s="29"/>
      <c r="E8" s="29"/>
      <c r="F8" s="17"/>
      <c r="G8" s="30" t="str">
        <f aca="false">IF($A8="","",D8+SUMIFS('Stok - Riwayat'!$D$8:$D$157,'Stok - Riwayat'!$A$8:$A$157,A8,'Stok - Riwayat'!$C$8:$C$157,"Masuk")-SUMIFS('Stok - Riwayat'!$D$8:$D$157,'Stok - Riwayat'!$A$8:$A$157,A8,'Stok - Riwayat'!$C$8:$C$157,"Keluar"))</f>
        <v/>
      </c>
      <c r="H8" s="13" t="str">
        <f aca="false">IF($A8="","",G8*F8)</f>
        <v/>
      </c>
      <c r="I8" s="12" t="str">
        <f aca="false">IF($A8="","",IF(G8&lt;=0,"Habis",IF(G8&lt;=E8,"Hampir Habis","Aman")))</f>
        <v/>
      </c>
    </row>
    <row r="9" customFormat="false" ht="15" hidden="false" customHeight="false" outlineLevel="0" collapsed="false">
      <c r="A9" s="16"/>
      <c r="B9" s="16"/>
      <c r="C9" s="16"/>
      <c r="D9" s="29"/>
      <c r="E9" s="29"/>
      <c r="F9" s="17"/>
      <c r="G9" s="30" t="str">
        <f aca="false">IF($A9="","",D9+SUMIFS('Stok - Riwayat'!$D$8:$D$157,'Stok - Riwayat'!$A$8:$A$157,A9,'Stok - Riwayat'!$C$8:$C$157,"Masuk")-SUMIFS('Stok - Riwayat'!$D$8:$D$157,'Stok - Riwayat'!$A$8:$A$157,A9,'Stok - Riwayat'!$C$8:$C$157,"Keluar"))</f>
        <v/>
      </c>
      <c r="H9" s="13" t="str">
        <f aca="false">IF($A9="","",G9*F9)</f>
        <v/>
      </c>
      <c r="I9" s="12" t="str">
        <f aca="false">IF($A9="","",IF(G9&lt;=0,"Habis",IF(G9&lt;=E9,"Hampir Habis","Aman")))</f>
        <v/>
      </c>
    </row>
    <row r="10" customFormat="false" ht="15" hidden="false" customHeight="false" outlineLevel="0" collapsed="false">
      <c r="A10" s="16"/>
      <c r="B10" s="16"/>
      <c r="C10" s="16"/>
      <c r="D10" s="29"/>
      <c r="E10" s="29"/>
      <c r="F10" s="17"/>
      <c r="G10" s="30" t="str">
        <f aca="false">IF($A10="","",D10+SUMIFS('Stok - Riwayat'!$D$8:$D$157,'Stok - Riwayat'!$A$8:$A$157,A10,'Stok - Riwayat'!$C$8:$C$157,"Masuk")-SUMIFS('Stok - Riwayat'!$D$8:$D$157,'Stok - Riwayat'!$A$8:$A$157,A10,'Stok - Riwayat'!$C$8:$C$157,"Keluar"))</f>
        <v/>
      </c>
      <c r="H10" s="13" t="str">
        <f aca="false">IF($A10="","",G10*F10)</f>
        <v/>
      </c>
      <c r="I10" s="12" t="str">
        <f aca="false">IF($A10="","",IF(G10&lt;=0,"Habis",IF(G10&lt;=E10,"Hampir Habis","Aman")))</f>
        <v/>
      </c>
    </row>
    <row r="11" customFormat="false" ht="15" hidden="false" customHeight="false" outlineLevel="0" collapsed="false">
      <c r="A11" s="16"/>
      <c r="B11" s="16"/>
      <c r="C11" s="16"/>
      <c r="D11" s="29"/>
      <c r="E11" s="29"/>
      <c r="F11" s="17"/>
      <c r="G11" s="30" t="str">
        <f aca="false">IF($A11="","",D11+SUMIFS('Stok - Riwayat'!$D$8:$D$157,'Stok - Riwayat'!$A$8:$A$157,A11,'Stok - Riwayat'!$C$8:$C$157,"Masuk")-SUMIFS('Stok - Riwayat'!$D$8:$D$157,'Stok - Riwayat'!$A$8:$A$157,A11,'Stok - Riwayat'!$C$8:$C$157,"Keluar"))</f>
        <v/>
      </c>
      <c r="H11" s="13" t="str">
        <f aca="false">IF($A11="","",G11*F11)</f>
        <v/>
      </c>
      <c r="I11" s="12" t="str">
        <f aca="false">IF($A11="","",IF(G11&lt;=0,"Habis",IF(G11&lt;=E11,"Hampir Habis","Aman")))</f>
        <v/>
      </c>
    </row>
    <row r="12" customFormat="false" ht="15" hidden="false" customHeight="false" outlineLevel="0" collapsed="false">
      <c r="A12" s="16"/>
      <c r="B12" s="16"/>
      <c r="C12" s="16"/>
      <c r="D12" s="29"/>
      <c r="E12" s="29"/>
      <c r="F12" s="17"/>
      <c r="G12" s="30" t="str">
        <f aca="false">IF($A12="","",D12+SUMIFS('Stok - Riwayat'!$D$8:$D$157,'Stok - Riwayat'!$A$8:$A$157,A12,'Stok - Riwayat'!$C$8:$C$157,"Masuk")-SUMIFS('Stok - Riwayat'!$D$8:$D$157,'Stok - Riwayat'!$A$8:$A$157,A12,'Stok - Riwayat'!$C$8:$C$157,"Keluar"))</f>
        <v/>
      </c>
      <c r="H12" s="13" t="str">
        <f aca="false">IF($A12="","",G12*F12)</f>
        <v/>
      </c>
      <c r="I12" s="12" t="str">
        <f aca="false">IF($A12="","",IF(G12&lt;=0,"Habis",IF(G12&lt;=E12,"Hampir Habis","Aman")))</f>
        <v/>
      </c>
    </row>
    <row r="13" customFormat="false" ht="15" hidden="false" customHeight="false" outlineLevel="0" collapsed="false">
      <c r="A13" s="16"/>
      <c r="B13" s="16"/>
      <c r="C13" s="16"/>
      <c r="D13" s="29"/>
      <c r="E13" s="29"/>
      <c r="F13" s="17"/>
      <c r="G13" s="30" t="str">
        <f aca="false">IF($A13="","",D13+SUMIFS('Stok - Riwayat'!$D$8:$D$157,'Stok - Riwayat'!$A$8:$A$157,A13,'Stok - Riwayat'!$C$8:$C$157,"Masuk")-SUMIFS('Stok - Riwayat'!$D$8:$D$157,'Stok - Riwayat'!$A$8:$A$157,A13,'Stok - Riwayat'!$C$8:$C$157,"Keluar"))</f>
        <v/>
      </c>
      <c r="H13" s="13" t="str">
        <f aca="false">IF($A13="","",G13*F13)</f>
        <v/>
      </c>
      <c r="I13" s="12" t="str">
        <f aca="false">IF($A13="","",IF(G13&lt;=0,"Habis",IF(G13&lt;=E13,"Hampir Habis","Aman")))</f>
        <v/>
      </c>
    </row>
    <row r="14" customFormat="false" ht="15" hidden="false" customHeight="false" outlineLevel="0" collapsed="false">
      <c r="A14" s="16"/>
      <c r="B14" s="16"/>
      <c r="C14" s="16"/>
      <c r="D14" s="29"/>
      <c r="E14" s="29"/>
      <c r="F14" s="17"/>
      <c r="G14" s="30" t="str">
        <f aca="false">IF($A14="","",D14+SUMIFS('Stok - Riwayat'!$D$8:$D$157,'Stok - Riwayat'!$A$8:$A$157,A14,'Stok - Riwayat'!$C$8:$C$157,"Masuk")-SUMIFS('Stok - Riwayat'!$D$8:$D$157,'Stok - Riwayat'!$A$8:$A$157,A14,'Stok - Riwayat'!$C$8:$C$157,"Keluar"))</f>
        <v/>
      </c>
      <c r="H14" s="13" t="str">
        <f aca="false">IF($A14="","",G14*F14)</f>
        <v/>
      </c>
      <c r="I14" s="12" t="str">
        <f aca="false">IF($A14="","",IF(G14&lt;=0,"Habis",IF(G14&lt;=E14,"Hampir Habis","Aman")))</f>
        <v/>
      </c>
    </row>
    <row r="15" customFormat="false" ht="15" hidden="false" customHeight="false" outlineLevel="0" collapsed="false">
      <c r="A15" s="16"/>
      <c r="B15" s="16"/>
      <c r="C15" s="16"/>
      <c r="D15" s="29"/>
      <c r="E15" s="29"/>
      <c r="F15" s="17"/>
      <c r="G15" s="30" t="str">
        <f aca="false">IF($A15="","",D15+SUMIFS('Stok - Riwayat'!$D$8:$D$157,'Stok - Riwayat'!$A$8:$A$157,A15,'Stok - Riwayat'!$C$8:$C$157,"Masuk")-SUMIFS('Stok - Riwayat'!$D$8:$D$157,'Stok - Riwayat'!$A$8:$A$157,A15,'Stok - Riwayat'!$C$8:$C$157,"Keluar"))</f>
        <v/>
      </c>
      <c r="H15" s="13" t="str">
        <f aca="false">IF($A15="","",G15*F15)</f>
        <v/>
      </c>
      <c r="I15" s="12" t="str">
        <f aca="false">IF($A15="","",IF(G15&lt;=0,"Habis",IF(G15&lt;=E15,"Hampir Habis","Aman")))</f>
        <v/>
      </c>
    </row>
    <row r="16" customFormat="false" ht="15" hidden="false" customHeight="false" outlineLevel="0" collapsed="false">
      <c r="A16" s="16"/>
      <c r="B16" s="16"/>
      <c r="C16" s="16"/>
      <c r="D16" s="29"/>
      <c r="E16" s="29"/>
      <c r="F16" s="17"/>
      <c r="G16" s="30" t="str">
        <f aca="false">IF($A16="","",D16+SUMIFS('Stok - Riwayat'!$D$8:$D$157,'Stok - Riwayat'!$A$8:$A$157,A16,'Stok - Riwayat'!$C$8:$C$157,"Masuk")-SUMIFS('Stok - Riwayat'!$D$8:$D$157,'Stok - Riwayat'!$A$8:$A$157,A16,'Stok - Riwayat'!$C$8:$C$157,"Keluar"))</f>
        <v/>
      </c>
      <c r="H16" s="13" t="str">
        <f aca="false">IF($A16="","",G16*F16)</f>
        <v/>
      </c>
      <c r="I16" s="12" t="str">
        <f aca="false">IF($A16="","",IF(G16&lt;=0,"Habis",IF(G16&lt;=E16,"Hampir Habis","Aman")))</f>
        <v/>
      </c>
    </row>
    <row r="17" customFormat="false" ht="15" hidden="false" customHeight="false" outlineLevel="0" collapsed="false">
      <c r="A17" s="16"/>
      <c r="B17" s="16"/>
      <c r="C17" s="16"/>
      <c r="D17" s="29"/>
      <c r="E17" s="29"/>
      <c r="F17" s="17"/>
      <c r="G17" s="30" t="str">
        <f aca="false">IF($A17="","",D17+SUMIFS('Stok - Riwayat'!$D$8:$D$157,'Stok - Riwayat'!$A$8:$A$157,A17,'Stok - Riwayat'!$C$8:$C$157,"Masuk")-SUMIFS('Stok - Riwayat'!$D$8:$D$157,'Stok - Riwayat'!$A$8:$A$157,A17,'Stok - Riwayat'!$C$8:$C$157,"Keluar"))</f>
        <v/>
      </c>
      <c r="H17" s="13" t="str">
        <f aca="false">IF($A17="","",G17*F17)</f>
        <v/>
      </c>
      <c r="I17" s="12" t="str">
        <f aca="false">IF($A17="","",IF(G17&lt;=0,"Habis",IF(G17&lt;=E17,"Hampir Habis","Aman")))</f>
        <v/>
      </c>
    </row>
    <row r="18" customFormat="false" ht="15" hidden="false" customHeight="false" outlineLevel="0" collapsed="false">
      <c r="A18" s="16"/>
      <c r="B18" s="16"/>
      <c r="C18" s="16"/>
      <c r="D18" s="29"/>
      <c r="E18" s="29"/>
      <c r="F18" s="17"/>
      <c r="G18" s="30" t="str">
        <f aca="false">IF($A18="","",D18+SUMIFS('Stok - Riwayat'!$D$8:$D$157,'Stok - Riwayat'!$A$8:$A$157,A18,'Stok - Riwayat'!$C$8:$C$157,"Masuk")-SUMIFS('Stok - Riwayat'!$D$8:$D$157,'Stok - Riwayat'!$A$8:$A$157,A18,'Stok - Riwayat'!$C$8:$C$157,"Keluar"))</f>
        <v/>
      </c>
      <c r="H18" s="13" t="str">
        <f aca="false">IF($A18="","",G18*F18)</f>
        <v/>
      </c>
      <c r="I18" s="12" t="str">
        <f aca="false">IF($A18="","",IF(G18&lt;=0,"Habis",IF(G18&lt;=E18,"Hampir Habis","Aman")))</f>
        <v/>
      </c>
    </row>
    <row r="19" customFormat="false" ht="15" hidden="false" customHeight="false" outlineLevel="0" collapsed="false">
      <c r="A19" s="16"/>
      <c r="B19" s="16"/>
      <c r="C19" s="16"/>
      <c r="D19" s="29"/>
      <c r="E19" s="29"/>
      <c r="F19" s="17"/>
      <c r="G19" s="30" t="str">
        <f aca="false">IF($A19="","",D19+SUMIFS('Stok - Riwayat'!$D$8:$D$157,'Stok - Riwayat'!$A$8:$A$157,A19,'Stok - Riwayat'!$C$8:$C$157,"Masuk")-SUMIFS('Stok - Riwayat'!$D$8:$D$157,'Stok - Riwayat'!$A$8:$A$157,A19,'Stok - Riwayat'!$C$8:$C$157,"Keluar"))</f>
        <v/>
      </c>
      <c r="H19" s="13" t="str">
        <f aca="false">IF($A19="","",G19*F19)</f>
        <v/>
      </c>
      <c r="I19" s="12" t="str">
        <f aca="false">IF($A19="","",IF(G19&lt;=0,"Habis",IF(G19&lt;=E19,"Hampir Habis","Aman")))</f>
        <v/>
      </c>
    </row>
    <row r="20" customFormat="false" ht="15" hidden="false" customHeight="false" outlineLevel="0" collapsed="false">
      <c r="A20" s="16"/>
      <c r="B20" s="16"/>
      <c r="C20" s="16"/>
      <c r="D20" s="29"/>
      <c r="E20" s="29"/>
      <c r="F20" s="17"/>
      <c r="G20" s="30" t="str">
        <f aca="false">IF($A20="","",D20+SUMIFS('Stok - Riwayat'!$D$8:$D$157,'Stok - Riwayat'!$A$8:$A$157,A20,'Stok - Riwayat'!$C$8:$C$157,"Masuk")-SUMIFS('Stok - Riwayat'!$D$8:$D$157,'Stok - Riwayat'!$A$8:$A$157,A20,'Stok - Riwayat'!$C$8:$C$157,"Keluar"))</f>
        <v/>
      </c>
      <c r="H20" s="13" t="str">
        <f aca="false">IF($A20="","",G20*F20)</f>
        <v/>
      </c>
      <c r="I20" s="12" t="str">
        <f aca="false">IF($A20="","",IF(G20&lt;=0,"Habis",IF(G20&lt;=E20,"Hampir Habis","Aman")))</f>
        <v/>
      </c>
    </row>
    <row r="21" customFormat="false" ht="15" hidden="false" customHeight="false" outlineLevel="0" collapsed="false">
      <c r="A21" s="16"/>
      <c r="B21" s="16"/>
      <c r="C21" s="16"/>
      <c r="D21" s="29"/>
      <c r="E21" s="29"/>
      <c r="F21" s="17"/>
      <c r="G21" s="30" t="str">
        <f aca="false">IF($A21="","",D21+SUMIFS('Stok - Riwayat'!$D$8:$D$157,'Stok - Riwayat'!$A$8:$A$157,A21,'Stok - Riwayat'!$C$8:$C$157,"Masuk")-SUMIFS('Stok - Riwayat'!$D$8:$D$157,'Stok - Riwayat'!$A$8:$A$157,A21,'Stok - Riwayat'!$C$8:$C$157,"Keluar"))</f>
        <v/>
      </c>
      <c r="H21" s="13" t="str">
        <f aca="false">IF($A21="","",G21*F21)</f>
        <v/>
      </c>
      <c r="I21" s="12" t="str">
        <f aca="false">IF($A21="","",IF(G21&lt;=0,"Habis",IF(G21&lt;=E21,"Hampir Habis","Aman")))</f>
        <v/>
      </c>
    </row>
    <row r="22" customFormat="false" ht="15" hidden="false" customHeight="false" outlineLevel="0" collapsed="false">
      <c r="A22" s="16"/>
      <c r="B22" s="16"/>
      <c r="C22" s="16"/>
      <c r="D22" s="29"/>
      <c r="E22" s="29"/>
      <c r="F22" s="17"/>
      <c r="G22" s="30" t="str">
        <f aca="false">IF($A22="","",D22+SUMIFS('Stok - Riwayat'!$D$8:$D$157,'Stok - Riwayat'!$A$8:$A$157,A22,'Stok - Riwayat'!$C$8:$C$157,"Masuk")-SUMIFS('Stok - Riwayat'!$D$8:$D$157,'Stok - Riwayat'!$A$8:$A$157,A22,'Stok - Riwayat'!$C$8:$C$157,"Keluar"))</f>
        <v/>
      </c>
      <c r="H22" s="13" t="str">
        <f aca="false">IF($A22="","",G22*F22)</f>
        <v/>
      </c>
      <c r="I22" s="12" t="str">
        <f aca="false">IF($A22="","",IF(G22&lt;=0,"Habis",IF(G22&lt;=E22,"Hampir Habis","Aman")))</f>
        <v/>
      </c>
    </row>
    <row r="23" customFormat="false" ht="15" hidden="false" customHeight="false" outlineLevel="0" collapsed="false">
      <c r="A23" s="16"/>
      <c r="B23" s="16"/>
      <c r="C23" s="16"/>
      <c r="D23" s="29"/>
      <c r="E23" s="29"/>
      <c r="F23" s="17"/>
      <c r="G23" s="30" t="str">
        <f aca="false">IF($A23="","",D23+SUMIFS('Stok - Riwayat'!$D$8:$D$157,'Stok - Riwayat'!$A$8:$A$157,A23,'Stok - Riwayat'!$C$8:$C$157,"Masuk")-SUMIFS('Stok - Riwayat'!$D$8:$D$157,'Stok - Riwayat'!$A$8:$A$157,A23,'Stok - Riwayat'!$C$8:$C$157,"Keluar"))</f>
        <v/>
      </c>
      <c r="H23" s="13" t="str">
        <f aca="false">IF($A23="","",G23*F23)</f>
        <v/>
      </c>
      <c r="I23" s="12" t="str">
        <f aca="false">IF($A23="","",IF(G23&lt;=0,"Habis",IF(G23&lt;=E23,"Hampir Habis","Aman")))</f>
        <v/>
      </c>
    </row>
    <row r="24" customFormat="false" ht="15" hidden="false" customHeight="false" outlineLevel="0" collapsed="false">
      <c r="A24" s="16"/>
      <c r="B24" s="16"/>
      <c r="C24" s="16"/>
      <c r="D24" s="29"/>
      <c r="E24" s="29"/>
      <c r="F24" s="17"/>
      <c r="G24" s="30" t="str">
        <f aca="false">IF($A24="","",D24+SUMIFS('Stok - Riwayat'!$D$8:$D$157,'Stok - Riwayat'!$A$8:$A$157,A24,'Stok - Riwayat'!$C$8:$C$157,"Masuk")-SUMIFS('Stok - Riwayat'!$D$8:$D$157,'Stok - Riwayat'!$A$8:$A$157,A24,'Stok - Riwayat'!$C$8:$C$157,"Keluar"))</f>
        <v/>
      </c>
      <c r="H24" s="13" t="str">
        <f aca="false">IF($A24="","",G24*F24)</f>
        <v/>
      </c>
      <c r="I24" s="12" t="str">
        <f aca="false">IF($A24="","",IF(G24&lt;=0,"Habis",IF(G24&lt;=E24,"Hampir Habis","Aman")))</f>
        <v/>
      </c>
    </row>
    <row r="25" customFormat="false" ht="15" hidden="false" customHeight="false" outlineLevel="0" collapsed="false">
      <c r="A25" s="16"/>
      <c r="B25" s="16"/>
      <c r="C25" s="16"/>
      <c r="D25" s="29"/>
      <c r="E25" s="29"/>
      <c r="F25" s="17"/>
      <c r="G25" s="30" t="str">
        <f aca="false">IF($A25="","",D25+SUMIFS('Stok - Riwayat'!$D$8:$D$157,'Stok - Riwayat'!$A$8:$A$157,A25,'Stok - Riwayat'!$C$8:$C$157,"Masuk")-SUMIFS('Stok - Riwayat'!$D$8:$D$157,'Stok - Riwayat'!$A$8:$A$157,A25,'Stok - Riwayat'!$C$8:$C$157,"Keluar"))</f>
        <v/>
      </c>
      <c r="H25" s="13" t="str">
        <f aca="false">IF($A25="","",G25*F25)</f>
        <v/>
      </c>
      <c r="I25" s="12" t="str">
        <f aca="false">IF($A25="","",IF(G25&lt;=0,"Habis",IF(G25&lt;=E25,"Hampir Habis","Aman")))</f>
        <v/>
      </c>
    </row>
    <row r="26" customFormat="false" ht="15" hidden="false" customHeight="false" outlineLevel="0" collapsed="false">
      <c r="A26" s="16"/>
      <c r="B26" s="16"/>
      <c r="C26" s="16"/>
      <c r="D26" s="29"/>
      <c r="E26" s="29"/>
      <c r="F26" s="17"/>
      <c r="G26" s="30" t="str">
        <f aca="false">IF($A26="","",D26+SUMIFS('Stok - Riwayat'!$D$8:$D$157,'Stok - Riwayat'!$A$8:$A$157,A26,'Stok - Riwayat'!$C$8:$C$157,"Masuk")-SUMIFS('Stok - Riwayat'!$D$8:$D$157,'Stok - Riwayat'!$A$8:$A$157,A26,'Stok - Riwayat'!$C$8:$C$157,"Keluar"))</f>
        <v/>
      </c>
      <c r="H26" s="13" t="str">
        <f aca="false">IF($A26="","",G26*F26)</f>
        <v/>
      </c>
      <c r="I26" s="12" t="str">
        <f aca="false">IF($A26="","",IF(G26&lt;=0,"Habis",IF(G26&lt;=E26,"Hampir Habis","Aman")))</f>
        <v/>
      </c>
    </row>
    <row r="27" customFormat="false" ht="15" hidden="false" customHeight="false" outlineLevel="0" collapsed="false">
      <c r="A27" s="16"/>
      <c r="B27" s="16"/>
      <c r="C27" s="16"/>
      <c r="D27" s="29"/>
      <c r="E27" s="29"/>
      <c r="F27" s="17"/>
      <c r="G27" s="30" t="str">
        <f aca="false">IF($A27="","",D27+SUMIFS('Stok - Riwayat'!$D$8:$D$157,'Stok - Riwayat'!$A$8:$A$157,A27,'Stok - Riwayat'!$C$8:$C$157,"Masuk")-SUMIFS('Stok - Riwayat'!$D$8:$D$157,'Stok - Riwayat'!$A$8:$A$157,A27,'Stok - Riwayat'!$C$8:$C$157,"Keluar"))</f>
        <v/>
      </c>
      <c r="H27" s="13" t="str">
        <f aca="false">IF($A27="","",G27*F27)</f>
        <v/>
      </c>
      <c r="I27" s="12" t="str">
        <f aca="false">IF($A27="","",IF(G27&lt;=0,"Habis",IF(G27&lt;=E27,"Hampir Habis","Aman")))</f>
        <v/>
      </c>
    </row>
    <row r="28" customFormat="false" ht="15" hidden="false" customHeight="false" outlineLevel="0" collapsed="false">
      <c r="A28" s="16"/>
      <c r="B28" s="16"/>
      <c r="C28" s="16"/>
      <c r="D28" s="29"/>
      <c r="E28" s="29"/>
      <c r="F28" s="17"/>
      <c r="G28" s="30" t="str">
        <f aca="false">IF($A28="","",D28+SUMIFS('Stok - Riwayat'!$D$8:$D$157,'Stok - Riwayat'!$A$8:$A$157,A28,'Stok - Riwayat'!$C$8:$C$157,"Masuk")-SUMIFS('Stok - Riwayat'!$D$8:$D$157,'Stok - Riwayat'!$A$8:$A$157,A28,'Stok - Riwayat'!$C$8:$C$157,"Keluar"))</f>
        <v/>
      </c>
      <c r="H28" s="13" t="str">
        <f aca="false">IF($A28="","",G28*F28)</f>
        <v/>
      </c>
      <c r="I28" s="12" t="str">
        <f aca="false">IF($A28="","",IF(G28&lt;=0,"Habis",IF(G28&lt;=E28,"Hampir Habis","Aman")))</f>
        <v/>
      </c>
    </row>
    <row r="29" customFormat="false" ht="15" hidden="false" customHeight="false" outlineLevel="0" collapsed="false">
      <c r="A29" s="16"/>
      <c r="B29" s="16"/>
      <c r="C29" s="16"/>
      <c r="D29" s="29"/>
      <c r="E29" s="29"/>
      <c r="F29" s="17"/>
      <c r="G29" s="30" t="str">
        <f aca="false">IF($A29="","",D29+SUMIFS('Stok - Riwayat'!$D$8:$D$157,'Stok - Riwayat'!$A$8:$A$157,A29,'Stok - Riwayat'!$C$8:$C$157,"Masuk")-SUMIFS('Stok - Riwayat'!$D$8:$D$157,'Stok - Riwayat'!$A$8:$A$157,A29,'Stok - Riwayat'!$C$8:$C$157,"Keluar"))</f>
        <v/>
      </c>
      <c r="H29" s="13" t="str">
        <f aca="false">IF($A29="","",G29*F29)</f>
        <v/>
      </c>
      <c r="I29" s="12" t="str">
        <f aca="false">IF($A29="","",IF(G29&lt;=0,"Habis",IF(G29&lt;=E29,"Hampir Habis","Aman")))</f>
        <v/>
      </c>
    </row>
    <row r="30" customFormat="false" ht="15" hidden="false" customHeight="false" outlineLevel="0" collapsed="false">
      <c r="A30" s="16"/>
      <c r="B30" s="16"/>
      <c r="C30" s="16"/>
      <c r="D30" s="29"/>
      <c r="E30" s="29"/>
      <c r="F30" s="17"/>
      <c r="G30" s="30" t="str">
        <f aca="false">IF($A30="","",D30+SUMIFS('Stok - Riwayat'!$D$8:$D$157,'Stok - Riwayat'!$A$8:$A$157,A30,'Stok - Riwayat'!$C$8:$C$157,"Masuk")-SUMIFS('Stok - Riwayat'!$D$8:$D$157,'Stok - Riwayat'!$A$8:$A$157,A30,'Stok - Riwayat'!$C$8:$C$157,"Keluar"))</f>
        <v/>
      </c>
      <c r="H30" s="13" t="str">
        <f aca="false">IF($A30="","",G30*F30)</f>
        <v/>
      </c>
      <c r="I30" s="12" t="str">
        <f aca="false">IF($A30="","",IF(G30&lt;=0,"Habis",IF(G30&lt;=E30,"Hampir Habis","Aman")))</f>
        <v/>
      </c>
    </row>
    <row r="31" customFormat="false" ht="15" hidden="false" customHeight="false" outlineLevel="0" collapsed="false">
      <c r="A31" s="16"/>
      <c r="B31" s="16"/>
      <c r="C31" s="16"/>
      <c r="D31" s="29"/>
      <c r="E31" s="29"/>
      <c r="F31" s="17"/>
      <c r="G31" s="30" t="str">
        <f aca="false">IF($A31="","",D31+SUMIFS('Stok - Riwayat'!$D$8:$D$157,'Stok - Riwayat'!$A$8:$A$157,A31,'Stok - Riwayat'!$C$8:$C$157,"Masuk")-SUMIFS('Stok - Riwayat'!$D$8:$D$157,'Stok - Riwayat'!$A$8:$A$157,A31,'Stok - Riwayat'!$C$8:$C$157,"Keluar"))</f>
        <v/>
      </c>
      <c r="H31" s="13" t="str">
        <f aca="false">IF($A31="","",G31*F31)</f>
        <v/>
      </c>
      <c r="I31" s="12" t="str">
        <f aca="false">IF($A31="","",IF(G31&lt;=0,"Habis",IF(G31&lt;=E31,"Hampir Habis","Aman")))</f>
        <v/>
      </c>
    </row>
    <row r="32" customFormat="false" ht="15" hidden="false" customHeight="false" outlineLevel="0" collapsed="false">
      <c r="A32" s="16"/>
      <c r="B32" s="16"/>
      <c r="C32" s="16"/>
      <c r="D32" s="29"/>
      <c r="E32" s="29"/>
      <c r="F32" s="17"/>
      <c r="G32" s="30" t="str">
        <f aca="false">IF($A32="","",D32+SUMIFS('Stok - Riwayat'!$D$8:$D$157,'Stok - Riwayat'!$A$8:$A$157,A32,'Stok - Riwayat'!$C$8:$C$157,"Masuk")-SUMIFS('Stok - Riwayat'!$D$8:$D$157,'Stok - Riwayat'!$A$8:$A$157,A32,'Stok - Riwayat'!$C$8:$C$157,"Keluar"))</f>
        <v/>
      </c>
      <c r="H32" s="13" t="str">
        <f aca="false">IF($A32="","",G32*F32)</f>
        <v/>
      </c>
      <c r="I32" s="12" t="str">
        <f aca="false">IF($A32="","",IF(G32&lt;=0,"Habis",IF(G32&lt;=E32,"Hampir Habis","Aman")))</f>
        <v/>
      </c>
    </row>
    <row r="33" customFormat="false" ht="15" hidden="false" customHeight="false" outlineLevel="0" collapsed="false">
      <c r="A33" s="16"/>
      <c r="B33" s="16"/>
      <c r="C33" s="16"/>
      <c r="D33" s="29"/>
      <c r="E33" s="29"/>
      <c r="F33" s="17"/>
      <c r="G33" s="30" t="str">
        <f aca="false">IF($A33="","",D33+SUMIFS('Stok - Riwayat'!$D$8:$D$157,'Stok - Riwayat'!$A$8:$A$157,A33,'Stok - Riwayat'!$C$8:$C$157,"Masuk")-SUMIFS('Stok - Riwayat'!$D$8:$D$157,'Stok - Riwayat'!$A$8:$A$157,A33,'Stok - Riwayat'!$C$8:$C$157,"Keluar"))</f>
        <v/>
      </c>
      <c r="H33" s="13" t="str">
        <f aca="false">IF($A33="","",G33*F33)</f>
        <v/>
      </c>
      <c r="I33" s="12" t="str">
        <f aca="false">IF($A33="","",IF(G33&lt;=0,"Habis",IF(G33&lt;=E33,"Hampir Habis","Aman")))</f>
        <v/>
      </c>
    </row>
    <row r="34" customFormat="false" ht="15" hidden="false" customHeight="false" outlineLevel="0" collapsed="false">
      <c r="A34" s="16"/>
      <c r="B34" s="16"/>
      <c r="C34" s="16"/>
      <c r="D34" s="29"/>
      <c r="E34" s="29"/>
      <c r="F34" s="17"/>
      <c r="G34" s="30" t="str">
        <f aca="false">IF($A34="","",D34+SUMIFS('Stok - Riwayat'!$D$8:$D$157,'Stok - Riwayat'!$A$8:$A$157,A34,'Stok - Riwayat'!$C$8:$C$157,"Masuk")-SUMIFS('Stok - Riwayat'!$D$8:$D$157,'Stok - Riwayat'!$A$8:$A$157,A34,'Stok - Riwayat'!$C$8:$C$157,"Keluar"))</f>
        <v/>
      </c>
      <c r="H34" s="13" t="str">
        <f aca="false">IF($A34="","",G34*F34)</f>
        <v/>
      </c>
      <c r="I34" s="12" t="str">
        <f aca="false">IF($A34="","",IF(G34&lt;=0,"Habis",IF(G34&lt;=E34,"Hampir Habis","Aman")))</f>
        <v/>
      </c>
    </row>
    <row r="35" customFormat="false" ht="15" hidden="false" customHeight="false" outlineLevel="0" collapsed="false">
      <c r="A35" s="16"/>
      <c r="B35" s="16"/>
      <c r="C35" s="16"/>
      <c r="D35" s="29"/>
      <c r="E35" s="29"/>
      <c r="F35" s="17"/>
      <c r="G35" s="30" t="str">
        <f aca="false">IF($A35="","",D35+SUMIFS('Stok - Riwayat'!$D$8:$D$157,'Stok - Riwayat'!$A$8:$A$157,A35,'Stok - Riwayat'!$C$8:$C$157,"Masuk")-SUMIFS('Stok - Riwayat'!$D$8:$D$157,'Stok - Riwayat'!$A$8:$A$157,A35,'Stok - Riwayat'!$C$8:$C$157,"Keluar"))</f>
        <v/>
      </c>
      <c r="H35" s="13" t="str">
        <f aca="false">IF($A35="","",G35*F35)</f>
        <v/>
      </c>
      <c r="I35" s="12" t="str">
        <f aca="false">IF($A35="","",IF(G35&lt;=0,"Habis",IF(G35&lt;=E35,"Hampir Habis","Aman")))</f>
        <v/>
      </c>
    </row>
    <row r="36" customFormat="false" ht="15" hidden="false" customHeight="false" outlineLevel="0" collapsed="false">
      <c r="A36" s="16"/>
      <c r="B36" s="16"/>
      <c r="C36" s="16"/>
      <c r="D36" s="29"/>
      <c r="E36" s="29"/>
      <c r="F36" s="17"/>
      <c r="G36" s="30" t="str">
        <f aca="false">IF($A36="","",D36+SUMIFS('Stok - Riwayat'!$D$8:$D$157,'Stok - Riwayat'!$A$8:$A$157,A36,'Stok - Riwayat'!$C$8:$C$157,"Masuk")-SUMIFS('Stok - Riwayat'!$D$8:$D$157,'Stok - Riwayat'!$A$8:$A$157,A36,'Stok - Riwayat'!$C$8:$C$157,"Keluar"))</f>
        <v/>
      </c>
      <c r="H36" s="13" t="str">
        <f aca="false">IF($A36="","",G36*F36)</f>
        <v/>
      </c>
      <c r="I36" s="12" t="str">
        <f aca="false">IF($A36="","",IF(G36&lt;=0,"Habis",IF(G36&lt;=E36,"Hampir Habis","Aman")))</f>
        <v/>
      </c>
    </row>
    <row r="37" customFormat="false" ht="15" hidden="false" customHeight="false" outlineLevel="0" collapsed="false">
      <c r="A37" s="16"/>
      <c r="B37" s="16"/>
      <c r="C37" s="16"/>
      <c r="D37" s="29"/>
      <c r="E37" s="29"/>
      <c r="F37" s="17"/>
      <c r="G37" s="30" t="str">
        <f aca="false">IF($A37="","",D37+SUMIFS('Stok - Riwayat'!$D$8:$D$157,'Stok - Riwayat'!$A$8:$A$157,A37,'Stok - Riwayat'!$C$8:$C$157,"Masuk")-SUMIFS('Stok - Riwayat'!$D$8:$D$157,'Stok - Riwayat'!$A$8:$A$157,A37,'Stok - Riwayat'!$C$8:$C$157,"Keluar"))</f>
        <v/>
      </c>
      <c r="H37" s="13" t="str">
        <f aca="false">IF($A37="","",G37*F37)</f>
        <v/>
      </c>
      <c r="I37" s="12" t="str">
        <f aca="false">IF($A37="","",IF(G37&lt;=0,"Habis",IF(G37&lt;=E37,"Hampir Habis","Aman")))</f>
        <v/>
      </c>
    </row>
    <row r="38" customFormat="false" ht="15" hidden="false" customHeight="false" outlineLevel="0" collapsed="false">
      <c r="A38" s="16"/>
      <c r="B38" s="16"/>
      <c r="C38" s="16"/>
      <c r="D38" s="29"/>
      <c r="E38" s="29"/>
      <c r="F38" s="17"/>
      <c r="G38" s="30" t="str">
        <f aca="false">IF($A38="","",D38+SUMIFS('Stok - Riwayat'!$D$8:$D$157,'Stok - Riwayat'!$A$8:$A$157,A38,'Stok - Riwayat'!$C$8:$C$157,"Masuk")-SUMIFS('Stok - Riwayat'!$D$8:$D$157,'Stok - Riwayat'!$A$8:$A$157,A38,'Stok - Riwayat'!$C$8:$C$157,"Keluar"))</f>
        <v/>
      </c>
      <c r="H38" s="13" t="str">
        <f aca="false">IF($A38="","",G38*F38)</f>
        <v/>
      </c>
      <c r="I38" s="12" t="str">
        <f aca="false">IF($A38="","",IF(G38&lt;=0,"Habis",IF(G38&lt;=E38,"Hampir Habis","Aman")))</f>
        <v/>
      </c>
    </row>
    <row r="39" customFormat="false" ht="15" hidden="false" customHeight="false" outlineLevel="0" collapsed="false">
      <c r="A39" s="16"/>
      <c r="B39" s="16"/>
      <c r="C39" s="16"/>
      <c r="D39" s="29"/>
      <c r="E39" s="29"/>
      <c r="F39" s="17"/>
      <c r="G39" s="30" t="str">
        <f aca="false">IF($A39="","",D39+SUMIFS('Stok - Riwayat'!$D$8:$D$157,'Stok - Riwayat'!$A$8:$A$157,A39,'Stok - Riwayat'!$C$8:$C$157,"Masuk")-SUMIFS('Stok - Riwayat'!$D$8:$D$157,'Stok - Riwayat'!$A$8:$A$157,A39,'Stok - Riwayat'!$C$8:$C$157,"Keluar"))</f>
        <v/>
      </c>
      <c r="H39" s="13" t="str">
        <f aca="false">IF($A39="","",G39*F39)</f>
        <v/>
      </c>
      <c r="I39" s="12" t="str">
        <f aca="false">IF($A39="","",IF(G39&lt;=0,"Habis",IF(G39&lt;=E39,"Hampir Habis","Aman")))</f>
        <v/>
      </c>
    </row>
    <row r="40" customFormat="false" ht="15" hidden="false" customHeight="false" outlineLevel="0" collapsed="false">
      <c r="A40" s="16"/>
      <c r="B40" s="16"/>
      <c r="C40" s="16"/>
      <c r="D40" s="29"/>
      <c r="E40" s="29"/>
      <c r="F40" s="17"/>
      <c r="G40" s="30" t="str">
        <f aca="false">IF($A40="","",D40+SUMIFS('Stok - Riwayat'!$D$8:$D$157,'Stok - Riwayat'!$A$8:$A$157,A40,'Stok - Riwayat'!$C$8:$C$157,"Masuk")-SUMIFS('Stok - Riwayat'!$D$8:$D$157,'Stok - Riwayat'!$A$8:$A$157,A40,'Stok - Riwayat'!$C$8:$C$157,"Keluar"))</f>
        <v/>
      </c>
      <c r="H40" s="13" t="str">
        <f aca="false">IF($A40="","",G40*F40)</f>
        <v/>
      </c>
      <c r="I40" s="12" t="str">
        <f aca="false">IF($A40="","",IF(G40&lt;=0,"Habis",IF(G40&lt;=E40,"Hampir Habis","Aman")))</f>
        <v/>
      </c>
    </row>
    <row r="41" customFormat="false" ht="15" hidden="false" customHeight="false" outlineLevel="0" collapsed="false">
      <c r="A41" s="16"/>
      <c r="B41" s="16"/>
      <c r="C41" s="16"/>
      <c r="D41" s="29"/>
      <c r="E41" s="29"/>
      <c r="F41" s="17"/>
      <c r="G41" s="30" t="str">
        <f aca="false">IF($A41="","",D41+SUMIFS('Stok - Riwayat'!$D$8:$D$157,'Stok - Riwayat'!$A$8:$A$157,A41,'Stok - Riwayat'!$C$8:$C$157,"Masuk")-SUMIFS('Stok - Riwayat'!$D$8:$D$157,'Stok - Riwayat'!$A$8:$A$157,A41,'Stok - Riwayat'!$C$8:$C$157,"Keluar"))</f>
        <v/>
      </c>
      <c r="H41" s="13" t="str">
        <f aca="false">IF($A41="","",G41*F41)</f>
        <v/>
      </c>
      <c r="I41" s="12" t="str">
        <f aca="false">IF($A41="","",IF(G41&lt;=0,"Habis",IF(G41&lt;=E41,"Hampir Habis","Aman")))</f>
        <v/>
      </c>
    </row>
    <row r="42" customFormat="false" ht="15" hidden="false" customHeight="false" outlineLevel="0" collapsed="false">
      <c r="A42" s="16"/>
      <c r="B42" s="16"/>
      <c r="C42" s="16"/>
      <c r="D42" s="29"/>
      <c r="E42" s="29"/>
      <c r="F42" s="17"/>
      <c r="G42" s="30" t="str">
        <f aca="false">IF($A42="","",D42+SUMIFS('Stok - Riwayat'!$D$8:$D$157,'Stok - Riwayat'!$A$8:$A$157,A42,'Stok - Riwayat'!$C$8:$C$157,"Masuk")-SUMIFS('Stok - Riwayat'!$D$8:$D$157,'Stok - Riwayat'!$A$8:$A$157,A42,'Stok - Riwayat'!$C$8:$C$157,"Keluar"))</f>
        <v/>
      </c>
      <c r="H42" s="13" t="str">
        <f aca="false">IF($A42="","",G42*F42)</f>
        <v/>
      </c>
      <c r="I42" s="12" t="str">
        <f aca="false">IF($A42="","",IF(G42&lt;=0,"Habis",IF(G42&lt;=E42,"Hampir Habis","Aman")))</f>
        <v/>
      </c>
    </row>
    <row r="43" customFormat="false" ht="15" hidden="false" customHeight="false" outlineLevel="0" collapsed="false">
      <c r="A43" s="16"/>
      <c r="B43" s="16"/>
      <c r="C43" s="16"/>
      <c r="D43" s="29"/>
      <c r="E43" s="29"/>
      <c r="F43" s="17"/>
      <c r="G43" s="30" t="str">
        <f aca="false">IF($A43="","",D43+SUMIFS('Stok - Riwayat'!$D$8:$D$157,'Stok - Riwayat'!$A$8:$A$157,A43,'Stok - Riwayat'!$C$8:$C$157,"Masuk")-SUMIFS('Stok - Riwayat'!$D$8:$D$157,'Stok - Riwayat'!$A$8:$A$157,A43,'Stok - Riwayat'!$C$8:$C$157,"Keluar"))</f>
        <v/>
      </c>
      <c r="H43" s="13" t="str">
        <f aca="false">IF($A43="","",G43*F43)</f>
        <v/>
      </c>
      <c r="I43" s="12" t="str">
        <f aca="false">IF($A43="","",IF(G43&lt;=0,"Habis",IF(G43&lt;=E43,"Hampir Habis","Aman")))</f>
        <v/>
      </c>
    </row>
    <row r="44" customFormat="false" ht="15" hidden="false" customHeight="false" outlineLevel="0" collapsed="false">
      <c r="A44" s="16"/>
      <c r="B44" s="16"/>
      <c r="C44" s="16"/>
      <c r="D44" s="29"/>
      <c r="E44" s="29"/>
      <c r="F44" s="17"/>
      <c r="G44" s="30" t="str">
        <f aca="false">IF($A44="","",D44+SUMIFS('Stok - Riwayat'!$D$8:$D$157,'Stok - Riwayat'!$A$8:$A$157,A44,'Stok - Riwayat'!$C$8:$C$157,"Masuk")-SUMIFS('Stok - Riwayat'!$D$8:$D$157,'Stok - Riwayat'!$A$8:$A$157,A44,'Stok - Riwayat'!$C$8:$C$157,"Keluar"))</f>
        <v/>
      </c>
      <c r="H44" s="13" t="str">
        <f aca="false">IF($A44="","",G44*F44)</f>
        <v/>
      </c>
      <c r="I44" s="12" t="str">
        <f aca="false">IF($A44="","",IF(G44&lt;=0,"Habis",IF(G44&lt;=E44,"Hampir Habis","Aman")))</f>
        <v/>
      </c>
    </row>
    <row r="45" customFormat="false" ht="15" hidden="false" customHeight="false" outlineLevel="0" collapsed="false">
      <c r="A45" s="16"/>
      <c r="B45" s="16"/>
      <c r="C45" s="16"/>
      <c r="D45" s="29"/>
      <c r="E45" s="29"/>
      <c r="F45" s="17"/>
      <c r="G45" s="30" t="str">
        <f aca="false">IF($A45="","",D45+SUMIFS('Stok - Riwayat'!$D$8:$D$157,'Stok - Riwayat'!$A$8:$A$157,A45,'Stok - Riwayat'!$C$8:$C$157,"Masuk")-SUMIFS('Stok - Riwayat'!$D$8:$D$157,'Stok - Riwayat'!$A$8:$A$157,A45,'Stok - Riwayat'!$C$8:$C$157,"Keluar"))</f>
        <v/>
      </c>
      <c r="H45" s="13" t="str">
        <f aca="false">IF($A45="","",G45*F45)</f>
        <v/>
      </c>
      <c r="I45" s="12" t="str">
        <f aca="false">IF($A45="","",IF(G45&lt;=0,"Habis",IF(G45&lt;=E45,"Hampir Habis","Aman")))</f>
        <v/>
      </c>
    </row>
    <row r="46" customFormat="false" ht="15" hidden="false" customHeight="false" outlineLevel="0" collapsed="false">
      <c r="A46" s="16"/>
      <c r="B46" s="16"/>
      <c r="C46" s="16"/>
      <c r="D46" s="29"/>
      <c r="E46" s="29"/>
      <c r="F46" s="17"/>
      <c r="G46" s="30" t="str">
        <f aca="false">IF($A46="","",D46+SUMIFS('Stok - Riwayat'!$D$8:$D$157,'Stok - Riwayat'!$A$8:$A$157,A46,'Stok - Riwayat'!$C$8:$C$157,"Masuk")-SUMIFS('Stok - Riwayat'!$D$8:$D$157,'Stok - Riwayat'!$A$8:$A$157,A46,'Stok - Riwayat'!$C$8:$C$157,"Keluar"))</f>
        <v/>
      </c>
      <c r="H46" s="13" t="str">
        <f aca="false">IF($A46="","",G46*F46)</f>
        <v/>
      </c>
      <c r="I46" s="12" t="str">
        <f aca="false">IF($A46="","",IF(G46&lt;=0,"Habis",IF(G46&lt;=E46,"Hampir Habis","Aman")))</f>
        <v/>
      </c>
    </row>
    <row r="47" customFormat="false" ht="15" hidden="false" customHeight="false" outlineLevel="0" collapsed="false">
      <c r="A47" s="16"/>
      <c r="B47" s="16"/>
      <c r="C47" s="16"/>
      <c r="D47" s="29"/>
      <c r="E47" s="29"/>
      <c r="F47" s="17"/>
      <c r="G47" s="30" t="str">
        <f aca="false">IF($A47="","",D47+SUMIFS('Stok - Riwayat'!$D$8:$D$157,'Stok - Riwayat'!$A$8:$A$157,A47,'Stok - Riwayat'!$C$8:$C$157,"Masuk")-SUMIFS('Stok - Riwayat'!$D$8:$D$157,'Stok - Riwayat'!$A$8:$A$157,A47,'Stok - Riwayat'!$C$8:$C$157,"Keluar"))</f>
        <v/>
      </c>
      <c r="H47" s="13" t="str">
        <f aca="false">IF($A47="","",G47*F47)</f>
        <v/>
      </c>
      <c r="I47" s="12" t="str">
        <f aca="false">IF($A47="","",IF(G47&lt;=0,"Habis",IF(G47&lt;=E47,"Hampir Habis","Aman")))</f>
        <v/>
      </c>
    </row>
  </sheetData>
  <conditionalFormatting sqref="I8:I47">
    <cfRule type="cellIs" priority="2" operator="equal" aboveAverage="0" equalAverage="0" bottom="0" percent="0" rank="0" text="" dxfId="8">
      <formula>"Aman"</formula>
    </cfRule>
    <cfRule type="cellIs" priority="3" operator="equal" aboveAverage="0" equalAverage="0" bottom="0" percent="0" rank="0" text="" dxfId="9">
      <formula>"Hampir Habis"</formula>
    </cfRule>
    <cfRule type="cellIs" priority="4" operator="equal" aboveAverage="0" equalAverage="0" bottom="0" percent="0" rank="0" text="" dxfId="12">
      <formula>"Habis"</formula>
    </cfRule>
  </conditionalFormatting>
  <dataValidations count="2">
    <dataValidation allowBlank="true" errorStyle="stop" operator="between" showDropDown="false" showErrorMessage="false" showInputMessage="false" sqref="B8:B47" type="list">
      <formula1>Data!$I$2:$I$3</formula1>
      <formula2>0</formula2>
    </dataValidation>
    <dataValidation allowBlank="true" errorStyle="stop" operator="between" showDropDown="false" showErrorMessage="false" showInputMessage="false" sqref="C8:C47" type="list">
      <formula1>Data!$J$2:$J$14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78D6"/>
    <pageSetUpPr fitToPage="false"/>
  </sheetPr>
  <dimension ref="A1:E1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3"/>
    <col collapsed="false" customWidth="true" hidden="false" outlineLevel="0" max="4" min="3" style="0" width="10"/>
    <col collapsed="false" customWidth="true" hidden="false" outlineLevel="0" max="5" min="5" style="0" width="40"/>
  </cols>
  <sheetData>
    <row r="1" customFormat="false" ht="19.7" hidden="false" customHeight="false" outlineLevel="0" collapsed="false">
      <c r="A1" s="1" t="s">
        <v>153</v>
      </c>
    </row>
    <row r="2" customFormat="false" ht="15" hidden="false" customHeight="false" outlineLevel="0" collapsed="false">
      <c r="A2" s="2" t="s">
        <v>154</v>
      </c>
    </row>
    <row r="3" customFormat="false" ht="27.75" hidden="false" customHeight="true" outlineLevel="0" collapsed="false">
      <c r="A3" s="9" t="s">
        <v>146</v>
      </c>
      <c r="B3" s="10" t="s">
        <v>13</v>
      </c>
      <c r="C3" s="10" t="s">
        <v>16</v>
      </c>
      <c r="D3" s="10" t="s">
        <v>155</v>
      </c>
      <c r="E3" s="10" t="s">
        <v>15</v>
      </c>
    </row>
    <row r="8" customFormat="false" ht="15" hidden="false" customHeight="false" outlineLevel="0" collapsed="false">
      <c r="A8" s="16"/>
      <c r="B8" s="15"/>
      <c r="C8" s="16"/>
      <c r="D8" s="29"/>
      <c r="E8" s="16"/>
    </row>
    <row r="9" customFormat="false" ht="15" hidden="false" customHeight="false" outlineLevel="0" collapsed="false">
      <c r="A9" s="16"/>
      <c r="B9" s="15"/>
      <c r="C9" s="16"/>
      <c r="D9" s="29"/>
      <c r="E9" s="16"/>
    </row>
    <row r="10" customFormat="false" ht="15" hidden="false" customHeight="false" outlineLevel="0" collapsed="false">
      <c r="A10" s="16"/>
      <c r="B10" s="15"/>
      <c r="C10" s="16"/>
      <c r="D10" s="29"/>
      <c r="E10" s="16"/>
    </row>
    <row r="11" customFormat="false" ht="15" hidden="false" customHeight="false" outlineLevel="0" collapsed="false">
      <c r="A11" s="16"/>
      <c r="B11" s="15"/>
      <c r="C11" s="16"/>
      <c r="D11" s="29"/>
      <c r="E11" s="16"/>
    </row>
    <row r="12" customFormat="false" ht="15" hidden="false" customHeight="false" outlineLevel="0" collapsed="false">
      <c r="A12" s="16"/>
      <c r="B12" s="15"/>
      <c r="C12" s="16"/>
      <c r="D12" s="29"/>
      <c r="E12" s="16"/>
    </row>
    <row r="13" customFormat="false" ht="15" hidden="false" customHeight="false" outlineLevel="0" collapsed="false">
      <c r="A13" s="16"/>
      <c r="B13" s="15"/>
      <c r="C13" s="16"/>
      <c r="D13" s="29"/>
      <c r="E13" s="16"/>
    </row>
    <row r="14" customFormat="false" ht="15" hidden="false" customHeight="false" outlineLevel="0" collapsed="false">
      <c r="A14" s="16"/>
      <c r="B14" s="15"/>
      <c r="C14" s="16"/>
      <c r="D14" s="29"/>
      <c r="E14" s="16"/>
    </row>
    <row r="15" customFormat="false" ht="15" hidden="false" customHeight="false" outlineLevel="0" collapsed="false">
      <c r="A15" s="16"/>
      <c r="B15" s="15"/>
      <c r="C15" s="16"/>
      <c r="D15" s="29"/>
      <c r="E15" s="16"/>
    </row>
    <row r="16" customFormat="false" ht="15" hidden="false" customHeight="false" outlineLevel="0" collapsed="false">
      <c r="A16" s="16"/>
      <c r="B16" s="15"/>
      <c r="C16" s="16"/>
      <c r="D16" s="29"/>
      <c r="E16" s="16"/>
    </row>
    <row r="17" customFormat="false" ht="15" hidden="false" customHeight="false" outlineLevel="0" collapsed="false">
      <c r="A17" s="16"/>
      <c r="B17" s="15"/>
      <c r="C17" s="16"/>
      <c r="D17" s="29"/>
      <c r="E17" s="16"/>
    </row>
    <row r="18" customFormat="false" ht="15" hidden="false" customHeight="false" outlineLevel="0" collapsed="false">
      <c r="A18" s="16"/>
      <c r="B18" s="15"/>
      <c r="C18" s="16"/>
      <c r="D18" s="29"/>
      <c r="E18" s="16"/>
    </row>
    <row r="19" customFormat="false" ht="15" hidden="false" customHeight="false" outlineLevel="0" collapsed="false">
      <c r="A19" s="16"/>
      <c r="B19" s="15"/>
      <c r="C19" s="16"/>
      <c r="D19" s="29"/>
      <c r="E19" s="16"/>
    </row>
    <row r="20" customFormat="false" ht="15" hidden="false" customHeight="false" outlineLevel="0" collapsed="false">
      <c r="A20" s="16"/>
      <c r="B20" s="15"/>
      <c r="C20" s="16"/>
      <c r="D20" s="29"/>
      <c r="E20" s="16"/>
    </row>
    <row r="21" customFormat="false" ht="15" hidden="false" customHeight="false" outlineLevel="0" collapsed="false">
      <c r="A21" s="16"/>
      <c r="B21" s="15"/>
      <c r="C21" s="16"/>
      <c r="D21" s="29"/>
      <c r="E21" s="16"/>
    </row>
    <row r="22" customFormat="false" ht="15" hidden="false" customHeight="false" outlineLevel="0" collapsed="false">
      <c r="A22" s="16"/>
      <c r="B22" s="15"/>
      <c r="C22" s="16"/>
      <c r="D22" s="29"/>
      <c r="E22" s="16"/>
    </row>
    <row r="23" customFormat="false" ht="15" hidden="false" customHeight="false" outlineLevel="0" collapsed="false">
      <c r="A23" s="16"/>
      <c r="B23" s="15"/>
      <c r="C23" s="16"/>
      <c r="D23" s="29"/>
      <c r="E23" s="16"/>
    </row>
    <row r="24" customFormat="false" ht="15" hidden="false" customHeight="false" outlineLevel="0" collapsed="false">
      <c r="A24" s="16"/>
      <c r="B24" s="15"/>
      <c r="C24" s="16"/>
      <c r="D24" s="29"/>
      <c r="E24" s="16"/>
    </row>
    <row r="25" customFormat="false" ht="15" hidden="false" customHeight="false" outlineLevel="0" collapsed="false">
      <c r="A25" s="16"/>
      <c r="B25" s="15"/>
      <c r="C25" s="16"/>
      <c r="D25" s="29"/>
      <c r="E25" s="16"/>
    </row>
    <row r="26" customFormat="false" ht="15" hidden="false" customHeight="false" outlineLevel="0" collapsed="false">
      <c r="A26" s="16"/>
      <c r="B26" s="15"/>
      <c r="C26" s="16"/>
      <c r="D26" s="29"/>
      <c r="E26" s="16"/>
    </row>
    <row r="27" customFormat="false" ht="15" hidden="false" customHeight="false" outlineLevel="0" collapsed="false">
      <c r="A27" s="16"/>
      <c r="B27" s="15"/>
      <c r="C27" s="16"/>
      <c r="D27" s="29"/>
      <c r="E27" s="16"/>
    </row>
    <row r="28" customFormat="false" ht="15" hidden="false" customHeight="false" outlineLevel="0" collapsed="false">
      <c r="A28" s="16"/>
      <c r="B28" s="15"/>
      <c r="C28" s="16"/>
      <c r="D28" s="29"/>
      <c r="E28" s="16"/>
    </row>
    <row r="29" customFormat="false" ht="15" hidden="false" customHeight="false" outlineLevel="0" collapsed="false">
      <c r="A29" s="16"/>
      <c r="B29" s="15"/>
      <c r="C29" s="16"/>
      <c r="D29" s="29"/>
      <c r="E29" s="16"/>
    </row>
    <row r="30" customFormat="false" ht="15" hidden="false" customHeight="false" outlineLevel="0" collapsed="false">
      <c r="A30" s="16"/>
      <c r="B30" s="15"/>
      <c r="C30" s="16"/>
      <c r="D30" s="29"/>
      <c r="E30" s="16"/>
    </row>
    <row r="31" customFormat="false" ht="15" hidden="false" customHeight="false" outlineLevel="0" collapsed="false">
      <c r="A31" s="16"/>
      <c r="B31" s="15"/>
      <c r="C31" s="16"/>
      <c r="D31" s="29"/>
      <c r="E31" s="16"/>
    </row>
    <row r="32" customFormat="false" ht="15" hidden="false" customHeight="false" outlineLevel="0" collapsed="false">
      <c r="A32" s="16"/>
      <c r="B32" s="15"/>
      <c r="C32" s="16"/>
      <c r="D32" s="29"/>
      <c r="E32" s="16"/>
    </row>
    <row r="33" customFormat="false" ht="15" hidden="false" customHeight="false" outlineLevel="0" collapsed="false">
      <c r="A33" s="16"/>
      <c r="B33" s="15"/>
      <c r="C33" s="16"/>
      <c r="D33" s="29"/>
      <c r="E33" s="16"/>
    </row>
    <row r="34" customFormat="false" ht="15" hidden="false" customHeight="false" outlineLevel="0" collapsed="false">
      <c r="A34" s="16"/>
      <c r="B34" s="15"/>
      <c r="C34" s="16"/>
      <c r="D34" s="29"/>
      <c r="E34" s="16"/>
    </row>
    <row r="35" customFormat="false" ht="15" hidden="false" customHeight="false" outlineLevel="0" collapsed="false">
      <c r="A35" s="16"/>
      <c r="B35" s="15"/>
      <c r="C35" s="16"/>
      <c r="D35" s="29"/>
      <c r="E35" s="16"/>
    </row>
    <row r="36" customFormat="false" ht="15" hidden="false" customHeight="false" outlineLevel="0" collapsed="false">
      <c r="A36" s="16"/>
      <c r="B36" s="15"/>
      <c r="C36" s="16"/>
      <c r="D36" s="29"/>
      <c r="E36" s="16"/>
    </row>
    <row r="37" customFormat="false" ht="15" hidden="false" customHeight="false" outlineLevel="0" collapsed="false">
      <c r="A37" s="16"/>
      <c r="B37" s="15"/>
      <c r="C37" s="16"/>
      <c r="D37" s="29"/>
      <c r="E37" s="16"/>
    </row>
    <row r="38" customFormat="false" ht="15" hidden="false" customHeight="false" outlineLevel="0" collapsed="false">
      <c r="A38" s="16"/>
      <c r="B38" s="15"/>
      <c r="C38" s="16"/>
      <c r="D38" s="29"/>
      <c r="E38" s="16"/>
    </row>
    <row r="39" customFormat="false" ht="15" hidden="false" customHeight="false" outlineLevel="0" collapsed="false">
      <c r="A39" s="16"/>
      <c r="B39" s="15"/>
      <c r="C39" s="16"/>
      <c r="D39" s="29"/>
      <c r="E39" s="16"/>
    </row>
    <row r="40" customFormat="false" ht="15" hidden="false" customHeight="false" outlineLevel="0" collapsed="false">
      <c r="A40" s="16"/>
      <c r="B40" s="15"/>
      <c r="C40" s="16"/>
      <c r="D40" s="29"/>
      <c r="E40" s="16"/>
    </row>
    <row r="41" customFormat="false" ht="15" hidden="false" customHeight="false" outlineLevel="0" collapsed="false">
      <c r="A41" s="16"/>
      <c r="B41" s="15"/>
      <c r="C41" s="16"/>
      <c r="D41" s="29"/>
      <c r="E41" s="16"/>
    </row>
    <row r="42" customFormat="false" ht="15" hidden="false" customHeight="false" outlineLevel="0" collapsed="false">
      <c r="A42" s="16"/>
      <c r="B42" s="15"/>
      <c r="C42" s="16"/>
      <c r="D42" s="29"/>
      <c r="E42" s="16"/>
    </row>
    <row r="43" customFormat="false" ht="15" hidden="false" customHeight="false" outlineLevel="0" collapsed="false">
      <c r="A43" s="16"/>
      <c r="B43" s="15"/>
      <c r="C43" s="16"/>
      <c r="D43" s="29"/>
      <c r="E43" s="16"/>
    </row>
    <row r="44" customFormat="false" ht="15" hidden="false" customHeight="false" outlineLevel="0" collapsed="false">
      <c r="A44" s="16"/>
      <c r="B44" s="15"/>
      <c r="C44" s="16"/>
      <c r="D44" s="29"/>
      <c r="E44" s="16"/>
    </row>
    <row r="45" customFormat="false" ht="15" hidden="false" customHeight="false" outlineLevel="0" collapsed="false">
      <c r="A45" s="16"/>
      <c r="B45" s="15"/>
      <c r="C45" s="16"/>
      <c r="D45" s="29"/>
      <c r="E45" s="16"/>
    </row>
    <row r="46" customFormat="false" ht="15" hidden="false" customHeight="false" outlineLevel="0" collapsed="false">
      <c r="A46" s="16"/>
      <c r="B46" s="15"/>
      <c r="C46" s="16"/>
      <c r="D46" s="29"/>
      <c r="E46" s="16"/>
    </row>
    <row r="47" customFormat="false" ht="15" hidden="false" customHeight="false" outlineLevel="0" collapsed="false">
      <c r="A47" s="16"/>
      <c r="B47" s="15"/>
      <c r="C47" s="16"/>
      <c r="D47" s="29"/>
      <c r="E47" s="16"/>
    </row>
    <row r="48" customFormat="false" ht="15" hidden="false" customHeight="false" outlineLevel="0" collapsed="false">
      <c r="A48" s="16"/>
      <c r="B48" s="15"/>
      <c r="C48" s="16"/>
      <c r="D48" s="29"/>
      <c r="E48" s="16"/>
    </row>
    <row r="49" customFormat="false" ht="15" hidden="false" customHeight="false" outlineLevel="0" collapsed="false">
      <c r="A49" s="16"/>
      <c r="B49" s="15"/>
      <c r="C49" s="16"/>
      <c r="D49" s="29"/>
      <c r="E49" s="16"/>
    </row>
    <row r="50" customFormat="false" ht="15" hidden="false" customHeight="false" outlineLevel="0" collapsed="false">
      <c r="A50" s="16"/>
      <c r="B50" s="15"/>
      <c r="C50" s="16"/>
      <c r="D50" s="29"/>
      <c r="E50" s="16"/>
    </row>
    <row r="51" customFormat="false" ht="15" hidden="false" customHeight="false" outlineLevel="0" collapsed="false">
      <c r="A51" s="16"/>
      <c r="B51" s="15"/>
      <c r="C51" s="16"/>
      <c r="D51" s="29"/>
      <c r="E51" s="16"/>
    </row>
    <row r="52" customFormat="false" ht="15" hidden="false" customHeight="false" outlineLevel="0" collapsed="false">
      <c r="A52" s="16"/>
      <c r="B52" s="15"/>
      <c r="C52" s="16"/>
      <c r="D52" s="29"/>
      <c r="E52" s="16"/>
    </row>
    <row r="53" customFormat="false" ht="15" hidden="false" customHeight="false" outlineLevel="0" collapsed="false">
      <c r="A53" s="16"/>
      <c r="B53" s="15"/>
      <c r="C53" s="16"/>
      <c r="D53" s="29"/>
      <c r="E53" s="16"/>
    </row>
    <row r="54" customFormat="false" ht="15" hidden="false" customHeight="false" outlineLevel="0" collapsed="false">
      <c r="A54" s="16"/>
      <c r="B54" s="15"/>
      <c r="C54" s="16"/>
      <c r="D54" s="29"/>
      <c r="E54" s="16"/>
    </row>
    <row r="55" customFormat="false" ht="15" hidden="false" customHeight="false" outlineLevel="0" collapsed="false">
      <c r="A55" s="16"/>
      <c r="B55" s="15"/>
      <c r="C55" s="16"/>
      <c r="D55" s="29"/>
      <c r="E55" s="16"/>
    </row>
    <row r="56" customFormat="false" ht="15" hidden="false" customHeight="false" outlineLevel="0" collapsed="false">
      <c r="A56" s="16"/>
      <c r="B56" s="15"/>
      <c r="C56" s="16"/>
      <c r="D56" s="29"/>
      <c r="E56" s="16"/>
    </row>
    <row r="57" customFormat="false" ht="15" hidden="false" customHeight="false" outlineLevel="0" collapsed="false">
      <c r="A57" s="16"/>
      <c r="B57" s="15"/>
      <c r="C57" s="16"/>
      <c r="D57" s="29"/>
      <c r="E57" s="16"/>
    </row>
    <row r="58" customFormat="false" ht="15" hidden="false" customHeight="false" outlineLevel="0" collapsed="false">
      <c r="A58" s="16"/>
      <c r="B58" s="15"/>
      <c r="C58" s="16"/>
      <c r="D58" s="29"/>
      <c r="E58" s="16"/>
    </row>
    <row r="59" customFormat="false" ht="15" hidden="false" customHeight="false" outlineLevel="0" collapsed="false">
      <c r="A59" s="16"/>
      <c r="B59" s="15"/>
      <c r="C59" s="16"/>
      <c r="D59" s="29"/>
      <c r="E59" s="16"/>
    </row>
    <row r="60" customFormat="false" ht="15" hidden="false" customHeight="false" outlineLevel="0" collapsed="false">
      <c r="A60" s="16"/>
      <c r="B60" s="15"/>
      <c r="C60" s="16"/>
      <c r="D60" s="29"/>
      <c r="E60" s="16"/>
    </row>
    <row r="61" customFormat="false" ht="15" hidden="false" customHeight="false" outlineLevel="0" collapsed="false">
      <c r="A61" s="16"/>
      <c r="B61" s="15"/>
      <c r="C61" s="16"/>
      <c r="D61" s="29"/>
      <c r="E61" s="16"/>
    </row>
    <row r="62" customFormat="false" ht="15" hidden="false" customHeight="false" outlineLevel="0" collapsed="false">
      <c r="A62" s="16"/>
      <c r="B62" s="15"/>
      <c r="C62" s="16"/>
      <c r="D62" s="29"/>
      <c r="E62" s="16"/>
    </row>
    <row r="63" customFormat="false" ht="15" hidden="false" customHeight="false" outlineLevel="0" collapsed="false">
      <c r="A63" s="16"/>
      <c r="B63" s="15"/>
      <c r="C63" s="16"/>
      <c r="D63" s="29"/>
      <c r="E63" s="16"/>
    </row>
    <row r="64" customFormat="false" ht="15" hidden="false" customHeight="false" outlineLevel="0" collapsed="false">
      <c r="A64" s="16"/>
      <c r="B64" s="15"/>
      <c r="C64" s="16"/>
      <c r="D64" s="29"/>
      <c r="E64" s="16"/>
    </row>
    <row r="65" customFormat="false" ht="15" hidden="false" customHeight="false" outlineLevel="0" collapsed="false">
      <c r="A65" s="16"/>
      <c r="B65" s="15"/>
      <c r="C65" s="16"/>
      <c r="D65" s="29"/>
      <c r="E65" s="16"/>
    </row>
    <row r="66" customFormat="false" ht="15" hidden="false" customHeight="false" outlineLevel="0" collapsed="false">
      <c r="A66" s="16"/>
      <c r="B66" s="15"/>
      <c r="C66" s="16"/>
      <c r="D66" s="29"/>
      <c r="E66" s="16"/>
    </row>
    <row r="67" customFormat="false" ht="15" hidden="false" customHeight="false" outlineLevel="0" collapsed="false">
      <c r="A67" s="16"/>
      <c r="B67" s="15"/>
      <c r="C67" s="16"/>
      <c r="D67" s="29"/>
      <c r="E67" s="16"/>
    </row>
    <row r="68" customFormat="false" ht="15" hidden="false" customHeight="false" outlineLevel="0" collapsed="false">
      <c r="A68" s="16"/>
      <c r="B68" s="15"/>
      <c r="C68" s="16"/>
      <c r="D68" s="29"/>
      <c r="E68" s="16"/>
    </row>
    <row r="69" customFormat="false" ht="15" hidden="false" customHeight="false" outlineLevel="0" collapsed="false">
      <c r="A69" s="16"/>
      <c r="B69" s="15"/>
      <c r="C69" s="16"/>
      <c r="D69" s="29"/>
      <c r="E69" s="16"/>
    </row>
    <row r="70" customFormat="false" ht="15" hidden="false" customHeight="false" outlineLevel="0" collapsed="false">
      <c r="A70" s="16"/>
      <c r="B70" s="15"/>
      <c r="C70" s="16"/>
      <c r="D70" s="29"/>
      <c r="E70" s="16"/>
    </row>
    <row r="71" customFormat="false" ht="15" hidden="false" customHeight="false" outlineLevel="0" collapsed="false">
      <c r="A71" s="16"/>
      <c r="B71" s="15"/>
      <c r="C71" s="16"/>
      <c r="D71" s="29"/>
      <c r="E71" s="16"/>
    </row>
    <row r="72" customFormat="false" ht="15" hidden="false" customHeight="false" outlineLevel="0" collapsed="false">
      <c r="A72" s="16"/>
      <c r="B72" s="15"/>
      <c r="C72" s="16"/>
      <c r="D72" s="29"/>
      <c r="E72" s="16"/>
    </row>
    <row r="73" customFormat="false" ht="15" hidden="false" customHeight="false" outlineLevel="0" collapsed="false">
      <c r="A73" s="16"/>
      <c r="B73" s="15"/>
      <c r="C73" s="16"/>
      <c r="D73" s="29"/>
      <c r="E73" s="16"/>
    </row>
    <row r="74" customFormat="false" ht="15" hidden="false" customHeight="false" outlineLevel="0" collapsed="false">
      <c r="A74" s="16"/>
      <c r="B74" s="15"/>
      <c r="C74" s="16"/>
      <c r="D74" s="29"/>
      <c r="E74" s="16"/>
    </row>
    <row r="75" customFormat="false" ht="15" hidden="false" customHeight="false" outlineLevel="0" collapsed="false">
      <c r="A75" s="16"/>
      <c r="B75" s="15"/>
      <c r="C75" s="16"/>
      <c r="D75" s="29"/>
      <c r="E75" s="16"/>
    </row>
    <row r="76" customFormat="false" ht="15" hidden="false" customHeight="false" outlineLevel="0" collapsed="false">
      <c r="A76" s="16"/>
      <c r="B76" s="15"/>
      <c r="C76" s="16"/>
      <c r="D76" s="29"/>
      <c r="E76" s="16"/>
    </row>
    <row r="77" customFormat="false" ht="15" hidden="false" customHeight="false" outlineLevel="0" collapsed="false">
      <c r="A77" s="16"/>
      <c r="B77" s="15"/>
      <c r="C77" s="16"/>
      <c r="D77" s="29"/>
      <c r="E77" s="16"/>
    </row>
    <row r="78" customFormat="false" ht="15" hidden="false" customHeight="false" outlineLevel="0" collapsed="false">
      <c r="A78" s="16"/>
      <c r="B78" s="15"/>
      <c r="C78" s="16"/>
      <c r="D78" s="29"/>
      <c r="E78" s="16"/>
    </row>
    <row r="79" customFormat="false" ht="15" hidden="false" customHeight="false" outlineLevel="0" collapsed="false">
      <c r="A79" s="16"/>
      <c r="B79" s="15"/>
      <c r="C79" s="16"/>
      <c r="D79" s="29"/>
      <c r="E79" s="16"/>
    </row>
    <row r="80" customFormat="false" ht="15" hidden="false" customHeight="false" outlineLevel="0" collapsed="false">
      <c r="A80" s="16"/>
      <c r="B80" s="15"/>
      <c r="C80" s="16"/>
      <c r="D80" s="29"/>
      <c r="E80" s="16"/>
    </row>
    <row r="81" customFormat="false" ht="15" hidden="false" customHeight="false" outlineLevel="0" collapsed="false">
      <c r="A81" s="16"/>
      <c r="B81" s="15"/>
      <c r="C81" s="16"/>
      <c r="D81" s="29"/>
      <c r="E81" s="16"/>
    </row>
    <row r="82" customFormat="false" ht="15" hidden="false" customHeight="false" outlineLevel="0" collapsed="false">
      <c r="A82" s="16"/>
      <c r="B82" s="15"/>
      <c r="C82" s="16"/>
      <c r="D82" s="29"/>
      <c r="E82" s="16"/>
    </row>
    <row r="83" customFormat="false" ht="15" hidden="false" customHeight="false" outlineLevel="0" collapsed="false">
      <c r="A83" s="16"/>
      <c r="B83" s="15"/>
      <c r="C83" s="16"/>
      <c r="D83" s="29"/>
      <c r="E83" s="16"/>
    </row>
    <row r="84" customFormat="false" ht="15" hidden="false" customHeight="false" outlineLevel="0" collapsed="false">
      <c r="A84" s="16"/>
      <c r="B84" s="15"/>
      <c r="C84" s="16"/>
      <c r="D84" s="29"/>
      <c r="E84" s="16"/>
    </row>
    <row r="85" customFormat="false" ht="15" hidden="false" customHeight="false" outlineLevel="0" collapsed="false">
      <c r="A85" s="16"/>
      <c r="B85" s="15"/>
      <c r="C85" s="16"/>
      <c r="D85" s="29"/>
      <c r="E85" s="16"/>
    </row>
    <row r="86" customFormat="false" ht="15" hidden="false" customHeight="false" outlineLevel="0" collapsed="false">
      <c r="A86" s="16"/>
      <c r="B86" s="15"/>
      <c r="C86" s="16"/>
      <c r="D86" s="29"/>
      <c r="E86" s="16"/>
    </row>
    <row r="87" customFormat="false" ht="15" hidden="false" customHeight="false" outlineLevel="0" collapsed="false">
      <c r="A87" s="16"/>
      <c r="B87" s="15"/>
      <c r="C87" s="16"/>
      <c r="D87" s="29"/>
      <c r="E87" s="16"/>
    </row>
    <row r="88" customFormat="false" ht="15" hidden="false" customHeight="false" outlineLevel="0" collapsed="false">
      <c r="A88" s="16"/>
      <c r="B88" s="15"/>
      <c r="C88" s="16"/>
      <c r="D88" s="29"/>
      <c r="E88" s="16"/>
    </row>
    <row r="89" customFormat="false" ht="15" hidden="false" customHeight="false" outlineLevel="0" collapsed="false">
      <c r="A89" s="16"/>
      <c r="B89" s="15"/>
      <c r="C89" s="16"/>
      <c r="D89" s="29"/>
      <c r="E89" s="16"/>
    </row>
    <row r="90" customFormat="false" ht="15" hidden="false" customHeight="false" outlineLevel="0" collapsed="false">
      <c r="A90" s="16"/>
      <c r="B90" s="15"/>
      <c r="C90" s="16"/>
      <c r="D90" s="29"/>
      <c r="E90" s="16"/>
    </row>
    <row r="91" customFormat="false" ht="15" hidden="false" customHeight="false" outlineLevel="0" collapsed="false">
      <c r="A91" s="16"/>
      <c r="B91" s="15"/>
      <c r="C91" s="16"/>
      <c r="D91" s="29"/>
      <c r="E91" s="16"/>
    </row>
    <row r="92" customFormat="false" ht="15" hidden="false" customHeight="false" outlineLevel="0" collapsed="false">
      <c r="A92" s="16"/>
      <c r="B92" s="15"/>
      <c r="C92" s="16"/>
      <c r="D92" s="29"/>
      <c r="E92" s="16"/>
    </row>
    <row r="93" customFormat="false" ht="15" hidden="false" customHeight="false" outlineLevel="0" collapsed="false">
      <c r="A93" s="16"/>
      <c r="B93" s="15"/>
      <c r="C93" s="16"/>
      <c r="D93" s="29"/>
      <c r="E93" s="16"/>
    </row>
    <row r="94" customFormat="false" ht="15" hidden="false" customHeight="false" outlineLevel="0" collapsed="false">
      <c r="A94" s="16"/>
      <c r="B94" s="15"/>
      <c r="C94" s="16"/>
      <c r="D94" s="29"/>
      <c r="E94" s="16"/>
    </row>
    <row r="95" customFormat="false" ht="15" hidden="false" customHeight="false" outlineLevel="0" collapsed="false">
      <c r="A95" s="16"/>
      <c r="B95" s="15"/>
      <c r="C95" s="16"/>
      <c r="D95" s="29"/>
      <c r="E95" s="16"/>
    </row>
    <row r="96" customFormat="false" ht="15" hidden="false" customHeight="false" outlineLevel="0" collapsed="false">
      <c r="A96" s="16"/>
      <c r="B96" s="15"/>
      <c r="C96" s="16"/>
      <c r="D96" s="29"/>
      <c r="E96" s="16"/>
    </row>
    <row r="97" customFormat="false" ht="15" hidden="false" customHeight="false" outlineLevel="0" collapsed="false">
      <c r="A97" s="16"/>
      <c r="B97" s="15"/>
      <c r="C97" s="16"/>
      <c r="D97" s="29"/>
      <c r="E97" s="16"/>
    </row>
    <row r="98" customFormat="false" ht="15" hidden="false" customHeight="false" outlineLevel="0" collapsed="false">
      <c r="A98" s="16"/>
      <c r="B98" s="15"/>
      <c r="C98" s="16"/>
      <c r="D98" s="29"/>
      <c r="E98" s="16"/>
    </row>
    <row r="99" customFormat="false" ht="15" hidden="false" customHeight="false" outlineLevel="0" collapsed="false">
      <c r="A99" s="16"/>
      <c r="B99" s="15"/>
      <c r="C99" s="16"/>
      <c r="D99" s="29"/>
      <c r="E99" s="16"/>
    </row>
    <row r="100" customFormat="false" ht="15" hidden="false" customHeight="false" outlineLevel="0" collapsed="false">
      <c r="A100" s="16"/>
      <c r="B100" s="15"/>
      <c r="C100" s="16"/>
      <c r="D100" s="29"/>
      <c r="E100" s="16"/>
    </row>
    <row r="101" customFormat="false" ht="15" hidden="false" customHeight="false" outlineLevel="0" collapsed="false">
      <c r="A101" s="16"/>
      <c r="B101" s="15"/>
      <c r="C101" s="16"/>
      <c r="D101" s="29"/>
      <c r="E101" s="16"/>
    </row>
    <row r="102" customFormat="false" ht="15" hidden="false" customHeight="false" outlineLevel="0" collapsed="false">
      <c r="A102" s="16"/>
      <c r="B102" s="15"/>
      <c r="C102" s="16"/>
      <c r="D102" s="29"/>
      <c r="E102" s="16"/>
    </row>
    <row r="103" customFormat="false" ht="15" hidden="false" customHeight="false" outlineLevel="0" collapsed="false">
      <c r="A103" s="16"/>
      <c r="B103" s="15"/>
      <c r="C103" s="16"/>
      <c r="D103" s="29"/>
      <c r="E103" s="16"/>
    </row>
    <row r="104" customFormat="false" ht="15" hidden="false" customHeight="false" outlineLevel="0" collapsed="false">
      <c r="A104" s="16"/>
      <c r="B104" s="15"/>
      <c r="C104" s="16"/>
      <c r="D104" s="29"/>
      <c r="E104" s="16"/>
    </row>
    <row r="105" customFormat="false" ht="15" hidden="false" customHeight="false" outlineLevel="0" collapsed="false">
      <c r="A105" s="16"/>
      <c r="B105" s="15"/>
      <c r="C105" s="16"/>
      <c r="D105" s="29"/>
      <c r="E105" s="16"/>
    </row>
    <row r="106" customFormat="false" ht="15" hidden="false" customHeight="false" outlineLevel="0" collapsed="false">
      <c r="A106" s="16"/>
      <c r="B106" s="15"/>
      <c r="C106" s="16"/>
      <c r="D106" s="29"/>
      <c r="E106" s="16"/>
    </row>
    <row r="107" customFormat="false" ht="15" hidden="false" customHeight="false" outlineLevel="0" collapsed="false">
      <c r="A107" s="16"/>
      <c r="B107" s="15"/>
      <c r="C107" s="16"/>
      <c r="D107" s="29"/>
      <c r="E107" s="16"/>
    </row>
    <row r="108" customFormat="false" ht="15" hidden="false" customHeight="false" outlineLevel="0" collapsed="false">
      <c r="A108" s="16"/>
      <c r="B108" s="15"/>
      <c r="C108" s="16"/>
      <c r="D108" s="29"/>
      <c r="E108" s="16"/>
    </row>
    <row r="109" customFormat="false" ht="15" hidden="false" customHeight="false" outlineLevel="0" collapsed="false">
      <c r="A109" s="16"/>
      <c r="B109" s="15"/>
      <c r="C109" s="16"/>
      <c r="D109" s="29"/>
      <c r="E109" s="16"/>
    </row>
    <row r="110" customFormat="false" ht="15" hidden="false" customHeight="false" outlineLevel="0" collapsed="false">
      <c r="A110" s="16"/>
      <c r="B110" s="15"/>
      <c r="C110" s="16"/>
      <c r="D110" s="29"/>
      <c r="E110" s="16"/>
    </row>
    <row r="111" customFormat="false" ht="15" hidden="false" customHeight="false" outlineLevel="0" collapsed="false">
      <c r="A111" s="16"/>
      <c r="B111" s="15"/>
      <c r="C111" s="16"/>
      <c r="D111" s="29"/>
      <c r="E111" s="16"/>
    </row>
    <row r="112" customFormat="false" ht="15" hidden="false" customHeight="false" outlineLevel="0" collapsed="false">
      <c r="A112" s="16"/>
      <c r="B112" s="15"/>
      <c r="C112" s="16"/>
      <c r="D112" s="29"/>
      <c r="E112" s="16"/>
    </row>
    <row r="113" customFormat="false" ht="15" hidden="false" customHeight="false" outlineLevel="0" collapsed="false">
      <c r="A113" s="16"/>
      <c r="B113" s="15"/>
      <c r="C113" s="16"/>
      <c r="D113" s="29"/>
      <c r="E113" s="16"/>
    </row>
    <row r="114" customFormat="false" ht="15" hidden="false" customHeight="false" outlineLevel="0" collapsed="false">
      <c r="A114" s="16"/>
      <c r="B114" s="15"/>
      <c r="C114" s="16"/>
      <c r="D114" s="29"/>
      <c r="E114" s="16"/>
    </row>
    <row r="115" customFormat="false" ht="15" hidden="false" customHeight="false" outlineLevel="0" collapsed="false">
      <c r="A115" s="16"/>
      <c r="B115" s="15"/>
      <c r="C115" s="16"/>
      <c r="D115" s="29"/>
      <c r="E115" s="16"/>
    </row>
    <row r="116" customFormat="false" ht="15" hidden="false" customHeight="false" outlineLevel="0" collapsed="false">
      <c r="A116" s="16"/>
      <c r="B116" s="15"/>
      <c r="C116" s="16"/>
      <c r="D116" s="29"/>
      <c r="E116" s="16"/>
    </row>
    <row r="117" customFormat="false" ht="15" hidden="false" customHeight="false" outlineLevel="0" collapsed="false">
      <c r="A117" s="16"/>
      <c r="B117" s="15"/>
      <c r="C117" s="16"/>
      <c r="D117" s="29"/>
      <c r="E117" s="16"/>
    </row>
    <row r="118" customFormat="false" ht="15" hidden="false" customHeight="false" outlineLevel="0" collapsed="false">
      <c r="A118" s="16"/>
      <c r="B118" s="15"/>
      <c r="C118" s="16"/>
      <c r="D118" s="29"/>
      <c r="E118" s="16"/>
    </row>
    <row r="119" customFormat="false" ht="15" hidden="false" customHeight="false" outlineLevel="0" collapsed="false">
      <c r="A119" s="16"/>
      <c r="B119" s="15"/>
      <c r="C119" s="16"/>
      <c r="D119" s="29"/>
      <c r="E119" s="16"/>
    </row>
    <row r="120" customFormat="false" ht="15" hidden="false" customHeight="false" outlineLevel="0" collapsed="false">
      <c r="A120" s="16"/>
      <c r="B120" s="15"/>
      <c r="C120" s="16"/>
      <c r="D120" s="29"/>
      <c r="E120" s="16"/>
    </row>
    <row r="121" customFormat="false" ht="15" hidden="false" customHeight="false" outlineLevel="0" collapsed="false">
      <c r="A121" s="16"/>
      <c r="B121" s="15"/>
      <c r="C121" s="16"/>
      <c r="D121" s="29"/>
      <c r="E121" s="16"/>
    </row>
    <row r="122" customFormat="false" ht="15" hidden="false" customHeight="false" outlineLevel="0" collapsed="false">
      <c r="A122" s="16"/>
      <c r="B122" s="15"/>
      <c r="C122" s="16"/>
      <c r="D122" s="29"/>
      <c r="E122" s="16"/>
    </row>
    <row r="123" customFormat="false" ht="15" hidden="false" customHeight="false" outlineLevel="0" collapsed="false">
      <c r="A123" s="16"/>
      <c r="B123" s="15"/>
      <c r="C123" s="16"/>
      <c r="D123" s="29"/>
      <c r="E123" s="16"/>
    </row>
    <row r="124" customFormat="false" ht="15" hidden="false" customHeight="false" outlineLevel="0" collapsed="false">
      <c r="A124" s="16"/>
      <c r="B124" s="15"/>
      <c r="C124" s="16"/>
      <c r="D124" s="29"/>
      <c r="E124" s="16"/>
    </row>
    <row r="125" customFormat="false" ht="15" hidden="false" customHeight="false" outlineLevel="0" collapsed="false">
      <c r="A125" s="16"/>
      <c r="B125" s="15"/>
      <c r="C125" s="16"/>
      <c r="D125" s="29"/>
      <c r="E125" s="16"/>
    </row>
    <row r="126" customFormat="false" ht="15" hidden="false" customHeight="false" outlineLevel="0" collapsed="false">
      <c r="A126" s="16"/>
      <c r="B126" s="15"/>
      <c r="C126" s="16"/>
      <c r="D126" s="29"/>
      <c r="E126" s="16"/>
    </row>
    <row r="127" customFormat="false" ht="15" hidden="false" customHeight="false" outlineLevel="0" collapsed="false">
      <c r="A127" s="16"/>
      <c r="B127" s="15"/>
      <c r="C127" s="16"/>
      <c r="D127" s="29"/>
      <c r="E127" s="16"/>
    </row>
    <row r="128" customFormat="false" ht="15" hidden="false" customHeight="false" outlineLevel="0" collapsed="false">
      <c r="A128" s="16"/>
      <c r="B128" s="15"/>
      <c r="C128" s="16"/>
      <c r="D128" s="29"/>
      <c r="E128" s="16"/>
    </row>
    <row r="129" customFormat="false" ht="15" hidden="false" customHeight="false" outlineLevel="0" collapsed="false">
      <c r="A129" s="16"/>
      <c r="B129" s="15"/>
      <c r="C129" s="16"/>
      <c r="D129" s="29"/>
      <c r="E129" s="16"/>
    </row>
    <row r="130" customFormat="false" ht="15" hidden="false" customHeight="false" outlineLevel="0" collapsed="false">
      <c r="A130" s="16"/>
      <c r="B130" s="15"/>
      <c r="C130" s="16"/>
      <c r="D130" s="29"/>
      <c r="E130" s="16"/>
    </row>
    <row r="131" customFormat="false" ht="15" hidden="false" customHeight="false" outlineLevel="0" collapsed="false">
      <c r="A131" s="16"/>
      <c r="B131" s="15"/>
      <c r="C131" s="16"/>
      <c r="D131" s="29"/>
      <c r="E131" s="16"/>
    </row>
    <row r="132" customFormat="false" ht="15" hidden="false" customHeight="false" outlineLevel="0" collapsed="false">
      <c r="A132" s="16"/>
      <c r="B132" s="15"/>
      <c r="C132" s="16"/>
      <c r="D132" s="29"/>
      <c r="E132" s="16"/>
    </row>
    <row r="133" customFormat="false" ht="15" hidden="false" customHeight="false" outlineLevel="0" collapsed="false">
      <c r="A133" s="16"/>
      <c r="B133" s="15"/>
      <c r="C133" s="16"/>
      <c r="D133" s="29"/>
      <c r="E133" s="16"/>
    </row>
    <row r="134" customFormat="false" ht="15" hidden="false" customHeight="false" outlineLevel="0" collapsed="false">
      <c r="A134" s="16"/>
      <c r="B134" s="15"/>
      <c r="C134" s="16"/>
      <c r="D134" s="29"/>
      <c r="E134" s="16"/>
    </row>
    <row r="135" customFormat="false" ht="15" hidden="false" customHeight="false" outlineLevel="0" collapsed="false">
      <c r="A135" s="16"/>
      <c r="B135" s="15"/>
      <c r="C135" s="16"/>
      <c r="D135" s="29"/>
      <c r="E135" s="16"/>
    </row>
    <row r="136" customFormat="false" ht="15" hidden="false" customHeight="false" outlineLevel="0" collapsed="false">
      <c r="A136" s="16"/>
      <c r="B136" s="15"/>
      <c r="C136" s="16"/>
      <c r="D136" s="29"/>
      <c r="E136" s="16"/>
    </row>
    <row r="137" customFormat="false" ht="15" hidden="false" customHeight="false" outlineLevel="0" collapsed="false">
      <c r="A137" s="16"/>
      <c r="B137" s="15"/>
      <c r="C137" s="16"/>
      <c r="D137" s="29"/>
      <c r="E137" s="16"/>
    </row>
    <row r="138" customFormat="false" ht="15" hidden="false" customHeight="false" outlineLevel="0" collapsed="false">
      <c r="A138" s="16"/>
      <c r="B138" s="15"/>
      <c r="C138" s="16"/>
      <c r="D138" s="29"/>
      <c r="E138" s="16"/>
    </row>
    <row r="139" customFormat="false" ht="15" hidden="false" customHeight="false" outlineLevel="0" collapsed="false">
      <c r="A139" s="16"/>
      <c r="B139" s="15"/>
      <c r="C139" s="16"/>
      <c r="D139" s="29"/>
      <c r="E139" s="16"/>
    </row>
    <row r="140" customFormat="false" ht="15" hidden="false" customHeight="false" outlineLevel="0" collapsed="false">
      <c r="A140" s="16"/>
      <c r="B140" s="15"/>
      <c r="C140" s="16"/>
      <c r="D140" s="29"/>
      <c r="E140" s="16"/>
    </row>
    <row r="141" customFormat="false" ht="15" hidden="false" customHeight="false" outlineLevel="0" collapsed="false">
      <c r="A141" s="16"/>
      <c r="B141" s="15"/>
      <c r="C141" s="16"/>
      <c r="D141" s="29"/>
      <c r="E141" s="16"/>
    </row>
    <row r="142" customFormat="false" ht="15" hidden="false" customHeight="false" outlineLevel="0" collapsed="false">
      <c r="A142" s="16"/>
      <c r="B142" s="15"/>
      <c r="C142" s="16"/>
      <c r="D142" s="29"/>
      <c r="E142" s="16"/>
    </row>
    <row r="143" customFormat="false" ht="15" hidden="false" customHeight="false" outlineLevel="0" collapsed="false">
      <c r="A143" s="16"/>
      <c r="B143" s="15"/>
      <c r="C143" s="16"/>
      <c r="D143" s="29"/>
      <c r="E143" s="16"/>
    </row>
    <row r="144" customFormat="false" ht="15" hidden="false" customHeight="false" outlineLevel="0" collapsed="false">
      <c r="A144" s="16"/>
      <c r="B144" s="15"/>
      <c r="C144" s="16"/>
      <c r="D144" s="29"/>
      <c r="E144" s="16"/>
    </row>
    <row r="145" customFormat="false" ht="15" hidden="false" customHeight="false" outlineLevel="0" collapsed="false">
      <c r="A145" s="16"/>
      <c r="B145" s="15"/>
      <c r="C145" s="16"/>
      <c r="D145" s="29"/>
      <c r="E145" s="16"/>
    </row>
    <row r="146" customFormat="false" ht="15" hidden="false" customHeight="false" outlineLevel="0" collapsed="false">
      <c r="A146" s="16"/>
      <c r="B146" s="15"/>
      <c r="C146" s="16"/>
      <c r="D146" s="29"/>
      <c r="E146" s="16"/>
    </row>
    <row r="147" customFormat="false" ht="15" hidden="false" customHeight="false" outlineLevel="0" collapsed="false">
      <c r="A147" s="16"/>
      <c r="B147" s="15"/>
      <c r="C147" s="16"/>
      <c r="D147" s="29"/>
      <c r="E147" s="16"/>
    </row>
    <row r="148" customFormat="false" ht="15" hidden="false" customHeight="false" outlineLevel="0" collapsed="false">
      <c r="A148" s="16"/>
      <c r="B148" s="15"/>
      <c r="C148" s="16"/>
      <c r="D148" s="29"/>
      <c r="E148" s="16"/>
    </row>
    <row r="149" customFormat="false" ht="15" hidden="false" customHeight="false" outlineLevel="0" collapsed="false">
      <c r="A149" s="16"/>
      <c r="B149" s="15"/>
      <c r="C149" s="16"/>
      <c r="D149" s="29"/>
      <c r="E149" s="16"/>
    </row>
    <row r="150" customFormat="false" ht="15" hidden="false" customHeight="false" outlineLevel="0" collapsed="false">
      <c r="A150" s="16"/>
      <c r="B150" s="15"/>
      <c r="C150" s="16"/>
      <c r="D150" s="29"/>
      <c r="E150" s="16"/>
    </row>
    <row r="151" customFormat="false" ht="15" hidden="false" customHeight="false" outlineLevel="0" collapsed="false">
      <c r="A151" s="16"/>
      <c r="B151" s="15"/>
      <c r="C151" s="16"/>
      <c r="D151" s="29"/>
      <c r="E151" s="16"/>
    </row>
    <row r="152" customFormat="false" ht="15" hidden="false" customHeight="false" outlineLevel="0" collapsed="false">
      <c r="A152" s="16"/>
      <c r="B152" s="15"/>
      <c r="C152" s="16"/>
      <c r="D152" s="29"/>
      <c r="E152" s="16"/>
    </row>
    <row r="153" customFormat="false" ht="15" hidden="false" customHeight="false" outlineLevel="0" collapsed="false">
      <c r="A153" s="16"/>
      <c r="B153" s="15"/>
      <c r="C153" s="16"/>
      <c r="D153" s="29"/>
      <c r="E153" s="16"/>
    </row>
    <row r="154" customFormat="false" ht="15" hidden="false" customHeight="false" outlineLevel="0" collapsed="false">
      <c r="A154" s="16"/>
      <c r="B154" s="15"/>
      <c r="C154" s="16"/>
      <c r="D154" s="29"/>
      <c r="E154" s="16"/>
    </row>
    <row r="155" customFormat="false" ht="15" hidden="false" customHeight="false" outlineLevel="0" collapsed="false">
      <c r="A155" s="16"/>
      <c r="B155" s="15"/>
      <c r="C155" s="16"/>
      <c r="D155" s="29"/>
      <c r="E155" s="16"/>
    </row>
    <row r="156" customFormat="false" ht="15" hidden="false" customHeight="false" outlineLevel="0" collapsed="false">
      <c r="A156" s="16"/>
      <c r="B156" s="15"/>
      <c r="C156" s="16"/>
      <c r="D156" s="29"/>
      <c r="E156" s="16"/>
    </row>
    <row r="157" customFormat="false" ht="15" hidden="false" customHeight="false" outlineLevel="0" collapsed="false">
      <c r="A157" s="16"/>
      <c r="B157" s="15"/>
      <c r="C157" s="16"/>
      <c r="D157" s="29"/>
      <c r="E157" s="16"/>
    </row>
  </sheetData>
  <dataValidations count="2">
    <dataValidation allowBlank="true" errorStyle="stop" operator="between" showDropDown="false" showErrorMessage="false" showInputMessage="false" sqref="A8:A157" type="list">
      <formula1>'Stok Material &amp; Alat'!$A$8:$A$47</formula1>
      <formula2>0</formula2>
    </dataValidation>
    <dataValidation allowBlank="true" errorStyle="stop" operator="between" showDropDown="false" showErrorMessage="false" showInputMessage="false" sqref="C8:C157" type="list">
      <formula1>Data!$D$2:$D$3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78D6"/>
    <pageSetUpPr fitToPage="false"/>
  </sheetPr>
  <dimension ref="A1:I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9"/>
    <col collapsed="false" customWidth="true" hidden="false" outlineLevel="0" max="3" min="3" style="0" width="46"/>
    <col collapsed="false" customWidth="true" hidden="false" outlineLevel="0" max="4" min="4" style="0" width="8"/>
    <col collapsed="false" customWidth="true" hidden="false" outlineLevel="0" max="5" min="5" style="0" width="9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9" min="8" style="0" width="15"/>
  </cols>
  <sheetData>
    <row r="1" customFormat="false" ht="19.7" hidden="false" customHeight="false" outlineLevel="0" collapsed="false">
      <c r="A1" s="1" t="s">
        <v>156</v>
      </c>
    </row>
    <row r="2" customFormat="false" ht="15" hidden="false" customHeight="false" outlineLevel="0" collapsed="false">
      <c r="A2" s="2" t="s">
        <v>157</v>
      </c>
    </row>
    <row r="3" customFormat="false" ht="27.75" hidden="false" customHeight="true" outlineLevel="0" collapsed="false">
      <c r="A3" s="9" t="s">
        <v>6</v>
      </c>
      <c r="B3" s="10" t="s">
        <v>158</v>
      </c>
      <c r="C3" s="10" t="s">
        <v>159</v>
      </c>
      <c r="D3" s="10" t="s">
        <v>147</v>
      </c>
      <c r="E3" s="10" t="s">
        <v>160</v>
      </c>
      <c r="F3" s="10" t="s">
        <v>161</v>
      </c>
      <c r="G3" s="10" t="s">
        <v>162</v>
      </c>
      <c r="H3" s="10" t="s">
        <v>163</v>
      </c>
      <c r="I3" s="10" t="s">
        <v>164</v>
      </c>
    </row>
    <row r="4" customFormat="false" ht="15" hidden="false" customHeight="false" outlineLevel="0" collapsed="false">
      <c r="A4" s="16" t="s">
        <v>165</v>
      </c>
      <c r="B4" s="16" t="s">
        <v>166</v>
      </c>
      <c r="C4" s="16" t="s">
        <v>167</v>
      </c>
      <c r="D4" s="16" t="s">
        <v>168</v>
      </c>
      <c r="E4" s="16" t="s">
        <v>169</v>
      </c>
      <c r="F4" s="17" t="n">
        <v>0</v>
      </c>
      <c r="G4" s="21" t="n">
        <v>0.1</v>
      </c>
      <c r="H4" s="13" t="n">
        <f aca="false">IF($B4="","",SUMIFS('AHSP - Komponen'!$G$8:$G$87,'AHSP - Komponen'!$A$8:$A$87,B4))</f>
        <v>172706</v>
      </c>
      <c r="I4" s="13" t="n">
        <f aca="false">IF($B4="","",IF(E4="Manual",F4,H4*(1+G4)))</f>
        <v>189976.6</v>
      </c>
    </row>
    <row r="5" customFormat="false" ht="15" hidden="false" customHeight="false" outlineLevel="0" collapsed="false">
      <c r="A5" s="16" t="s">
        <v>165</v>
      </c>
      <c r="B5" s="16" t="s">
        <v>170</v>
      </c>
      <c r="C5" s="16" t="s">
        <v>171</v>
      </c>
      <c r="D5" s="16" t="s">
        <v>168</v>
      </c>
      <c r="E5" s="16" t="s">
        <v>169</v>
      </c>
      <c r="F5" s="17" t="n">
        <v>0</v>
      </c>
      <c r="G5" s="21" t="n">
        <v>0.1</v>
      </c>
      <c r="H5" s="13" t="n">
        <f aca="false">IF($B5="","",SUMIFS('AHSP - Komponen'!$G$8:$G$87,'AHSP - Komponen'!$A$8:$A$87,B5))</f>
        <v>63556</v>
      </c>
      <c r="I5" s="13" t="n">
        <f aca="false">IF($B5="","",IF(E5="Manual",F5,H5*(1+G5)))</f>
        <v>69911.6</v>
      </c>
    </row>
    <row r="6" customFormat="false" ht="15" hidden="false" customHeight="false" outlineLevel="0" collapsed="false">
      <c r="A6" s="16" t="s">
        <v>165</v>
      </c>
      <c r="B6" s="16" t="s">
        <v>172</v>
      </c>
      <c r="C6" s="16" t="s">
        <v>173</v>
      </c>
      <c r="D6" s="16" t="s">
        <v>168</v>
      </c>
      <c r="E6" s="16" t="s">
        <v>174</v>
      </c>
      <c r="F6" s="17" t="n">
        <v>35000</v>
      </c>
      <c r="G6" s="21" t="n">
        <v>0</v>
      </c>
      <c r="H6" s="13" t="n">
        <f aca="false">IF($B6="","",SUMIFS('AHSP - Komponen'!$G$8:$G$87,'AHSP - Komponen'!$A$8:$A$87,B6))</f>
        <v>0</v>
      </c>
      <c r="I6" s="13" t="n">
        <f aca="false">IF($B6="","",IF(E6="Manual",F6,H6*(1+G6)))</f>
        <v>35000</v>
      </c>
    </row>
    <row r="7" customFormat="false" ht="15" hidden="false" customHeight="false" outlineLevel="0" collapsed="false">
      <c r="A7" s="16" t="s">
        <v>175</v>
      </c>
      <c r="B7" s="16" t="s">
        <v>176</v>
      </c>
      <c r="C7" s="16" t="s">
        <v>177</v>
      </c>
      <c r="D7" s="16" t="s">
        <v>168</v>
      </c>
      <c r="E7" s="16" t="s">
        <v>174</v>
      </c>
      <c r="F7" s="17" t="n">
        <v>850000</v>
      </c>
      <c r="G7" s="21" t="n">
        <v>0</v>
      </c>
      <c r="H7" s="13" t="n">
        <f aca="false">IF($B7="","",SUMIFS('AHSP - Komponen'!$G$8:$G$87,'AHSP - Komponen'!$A$8:$A$87,B7))</f>
        <v>0</v>
      </c>
      <c r="I7" s="13" t="n">
        <f aca="false">IF($B7="","",IF(E7="Manual",F7,H7*(1+G7)))</f>
        <v>850000</v>
      </c>
    </row>
    <row r="8" customFormat="false" ht="15" hidden="false" customHeight="false" outlineLevel="0" collapsed="false">
      <c r="A8" s="16" t="s">
        <v>175</v>
      </c>
      <c r="B8" s="16" t="s">
        <v>178</v>
      </c>
      <c r="C8" s="16" t="s">
        <v>179</v>
      </c>
      <c r="D8" s="16" t="s">
        <v>168</v>
      </c>
      <c r="E8" s="16" t="s">
        <v>174</v>
      </c>
      <c r="F8" s="17" t="n">
        <v>65000</v>
      </c>
      <c r="G8" s="21" t="n">
        <v>0</v>
      </c>
      <c r="H8" s="13" t="n">
        <f aca="false">IF($B8="","",SUMIFS('AHSP - Komponen'!$G$8:$G$87,'AHSP - Komponen'!$A$8:$A$87,B8))</f>
        <v>0</v>
      </c>
      <c r="I8" s="13" t="n">
        <f aca="false">IF($B8="","",IF(E8="Manual",F8,H8*(1+G8)))</f>
        <v>65000</v>
      </c>
    </row>
    <row r="9" customFormat="false" ht="15" hidden="false" customHeight="false" outlineLevel="0" collapsed="false">
      <c r="A9" s="16" t="s">
        <v>175</v>
      </c>
      <c r="B9" s="16" t="s">
        <v>180</v>
      </c>
      <c r="C9" s="16" t="s">
        <v>181</v>
      </c>
      <c r="D9" s="16" t="s">
        <v>168</v>
      </c>
      <c r="E9" s="16" t="s">
        <v>174</v>
      </c>
      <c r="F9" s="17" t="n">
        <v>950000</v>
      </c>
      <c r="G9" s="21" t="n">
        <v>0</v>
      </c>
      <c r="H9" s="13" t="n">
        <f aca="false">IF($B9="","",SUMIFS('AHSP - Komponen'!$G$8:$G$87,'AHSP - Komponen'!$A$8:$A$87,B9))</f>
        <v>0</v>
      </c>
      <c r="I9" s="13" t="n">
        <f aca="false">IF($B9="","",IF(E9="Manual",F9,H9*(1+G9)))</f>
        <v>950000</v>
      </c>
    </row>
    <row r="10" customFormat="false" ht="15" hidden="false" customHeight="false" outlineLevel="0" collapsed="false">
      <c r="A10" s="16" t="s">
        <v>182</v>
      </c>
      <c r="B10" s="16" t="s">
        <v>183</v>
      </c>
      <c r="C10" s="16" t="s">
        <v>184</v>
      </c>
      <c r="D10" s="16" t="s">
        <v>168</v>
      </c>
      <c r="E10" s="16" t="s">
        <v>169</v>
      </c>
      <c r="F10" s="17" t="n">
        <v>0</v>
      </c>
      <c r="G10" s="21" t="n">
        <v>0.1</v>
      </c>
      <c r="H10" s="13" t="n">
        <f aca="false">IF($B10="","",SUMIFS('AHSP - Komponen'!$G$8:$G$87,'AHSP - Komponen'!$A$8:$A$87,B10))</f>
        <v>102850</v>
      </c>
      <c r="I10" s="13" t="n">
        <f aca="false">IF($B10="","",IF(E10="Manual",F10,H10*(1+G10)))</f>
        <v>113135</v>
      </c>
    </row>
    <row r="11" customFormat="false" ht="15" hidden="false" customHeight="false" outlineLevel="0" collapsed="false">
      <c r="A11" s="16" t="s">
        <v>182</v>
      </c>
      <c r="B11" s="16" t="s">
        <v>185</v>
      </c>
      <c r="C11" s="16" t="s">
        <v>186</v>
      </c>
      <c r="D11" s="16" t="s">
        <v>168</v>
      </c>
      <c r="E11" s="16" t="s">
        <v>174</v>
      </c>
      <c r="F11" s="17" t="n">
        <v>140000</v>
      </c>
      <c r="G11" s="21" t="n">
        <v>0</v>
      </c>
      <c r="H11" s="13" t="n">
        <f aca="false">IF($B11="","",SUMIFS('AHSP - Komponen'!$G$8:$G$87,'AHSP - Komponen'!$A$8:$A$87,B11))</f>
        <v>0</v>
      </c>
      <c r="I11" s="13" t="n">
        <f aca="false">IF($B11="","",IF(E11="Manual",F11,H11*(1+G11)))</f>
        <v>140000</v>
      </c>
    </row>
    <row r="12" customFormat="false" ht="15" hidden="false" customHeight="false" outlineLevel="0" collapsed="false">
      <c r="A12" s="16" t="s">
        <v>187</v>
      </c>
      <c r="B12" s="16" t="s">
        <v>188</v>
      </c>
      <c r="C12" s="16" t="s">
        <v>189</v>
      </c>
      <c r="D12" s="16" t="s">
        <v>168</v>
      </c>
      <c r="E12" s="16" t="s">
        <v>174</v>
      </c>
      <c r="F12" s="17" t="n">
        <v>45000</v>
      </c>
      <c r="G12" s="21" t="n">
        <v>0</v>
      </c>
      <c r="H12" s="13" t="n">
        <f aca="false">IF($B12="","",SUMIFS('AHSP - Komponen'!$G$8:$G$87,'AHSP - Komponen'!$A$8:$A$87,B12))</f>
        <v>0</v>
      </c>
      <c r="I12" s="13" t="n">
        <f aca="false">IF($B12="","",IF(E12="Manual",F12,H12*(1+G12)))</f>
        <v>45000</v>
      </c>
    </row>
    <row r="13" customFormat="false" ht="15" hidden="false" customHeight="false" outlineLevel="0" collapsed="false">
      <c r="A13" s="16" t="s">
        <v>187</v>
      </c>
      <c r="B13" s="16" t="s">
        <v>190</v>
      </c>
      <c r="C13" s="16" t="s">
        <v>191</v>
      </c>
      <c r="D13" s="16" t="s">
        <v>168</v>
      </c>
      <c r="E13" s="16" t="s">
        <v>174</v>
      </c>
      <c r="F13" s="17" t="n">
        <v>350000</v>
      </c>
      <c r="G13" s="21" t="n">
        <v>0</v>
      </c>
      <c r="H13" s="13" t="n">
        <f aca="false">IF($B13="","",SUMIFS('AHSP - Komponen'!$G$8:$G$87,'AHSP - Komponen'!$A$8:$A$87,B13))</f>
        <v>0</v>
      </c>
      <c r="I13" s="13" t="n">
        <f aca="false">IF($B13="","",IF(E13="Manual",F13,H13*(1+G13)))</f>
        <v>350000</v>
      </c>
    </row>
    <row r="14" customFormat="false" ht="15" hidden="false" customHeight="false" outlineLevel="0" collapsed="false">
      <c r="A14" s="16" t="s">
        <v>192</v>
      </c>
      <c r="B14" s="16" t="s">
        <v>193</v>
      </c>
      <c r="C14" s="16" t="s">
        <v>194</v>
      </c>
      <c r="D14" s="16" t="s">
        <v>195</v>
      </c>
      <c r="E14" s="16" t="s">
        <v>174</v>
      </c>
      <c r="F14" s="17" t="n">
        <v>5000000</v>
      </c>
      <c r="G14" s="21" t="n">
        <v>0</v>
      </c>
      <c r="H14" s="13" t="n">
        <f aca="false">IF($B14="","",SUMIFS('AHSP - Komponen'!$G$8:$G$87,'AHSP - Komponen'!$A$8:$A$87,B14))</f>
        <v>0</v>
      </c>
      <c r="I14" s="13" t="n">
        <f aca="false">IF($B14="","",IF(E14="Manual",F14,H14*(1+G14)))</f>
        <v>5000000</v>
      </c>
    </row>
    <row r="15" customFormat="false" ht="15" hidden="false" customHeight="false" outlineLevel="0" collapsed="false">
      <c r="A15" s="16" t="s">
        <v>192</v>
      </c>
      <c r="B15" s="16" t="s">
        <v>196</v>
      </c>
      <c r="C15" s="16" t="s">
        <v>197</v>
      </c>
      <c r="D15" s="16" t="s">
        <v>195</v>
      </c>
      <c r="E15" s="16" t="s">
        <v>174</v>
      </c>
      <c r="F15" s="17" t="n">
        <v>8000000</v>
      </c>
      <c r="G15" s="21" t="n">
        <v>0</v>
      </c>
      <c r="H15" s="13" t="n">
        <f aca="false">IF($B15="","",SUMIFS('AHSP - Komponen'!$G$8:$G$87,'AHSP - Komponen'!$A$8:$A$87,B15))</f>
        <v>0</v>
      </c>
      <c r="I15" s="13" t="n">
        <f aca="false">IF($B15="","",IF(E15="Manual",F15,H15*(1+G15)))</f>
        <v>8000000</v>
      </c>
    </row>
    <row r="16" customFormat="false" ht="15" hidden="false" customHeight="false" outlineLevel="0" collapsed="false">
      <c r="A16" s="16" t="s">
        <v>192</v>
      </c>
      <c r="B16" s="16" t="s">
        <v>198</v>
      </c>
      <c r="C16" s="16" t="s">
        <v>199</v>
      </c>
      <c r="D16" s="16" t="s">
        <v>200</v>
      </c>
      <c r="E16" s="16" t="s">
        <v>174</v>
      </c>
      <c r="F16" s="17" t="n">
        <v>3500000</v>
      </c>
      <c r="G16" s="21" t="n">
        <v>0</v>
      </c>
      <c r="H16" s="13" t="n">
        <f aca="false">IF($B16="","",SUMIFS('AHSP - Komponen'!$G$8:$G$87,'AHSP - Komponen'!$A$8:$A$87,B16))</f>
        <v>0</v>
      </c>
      <c r="I16" s="13" t="n">
        <f aca="false">IF($B16="","",IF(E16="Manual",F16,H16*(1+G16)))</f>
        <v>3500000</v>
      </c>
    </row>
    <row r="17" customFormat="false" ht="15" hidden="false" customHeight="false" outlineLevel="0" collapsed="false">
      <c r="A17" s="16" t="s">
        <v>201</v>
      </c>
      <c r="B17" s="16" t="s">
        <v>202</v>
      </c>
      <c r="C17" s="16" t="s">
        <v>203</v>
      </c>
      <c r="D17" s="16" t="s">
        <v>204</v>
      </c>
      <c r="E17" s="16" t="s">
        <v>169</v>
      </c>
      <c r="F17" s="17" t="n">
        <v>0</v>
      </c>
      <c r="G17" s="21" t="n">
        <v>0.12</v>
      </c>
      <c r="H17" s="13" t="n">
        <f aca="false">IF($B17="","",SUMIFS('AHSP - Komponen'!$G$8:$G$87,'AHSP - Komponen'!$A$8:$A$87,B17))</f>
        <v>26650</v>
      </c>
      <c r="I17" s="13" t="n">
        <f aca="false">IF($B17="","",IF(E17="Manual",F17,H17*(1+G17)))</f>
        <v>29848</v>
      </c>
    </row>
    <row r="18" customFormat="false" ht="15" hidden="false" customHeight="false" outlineLevel="0" collapsed="false">
      <c r="A18" s="16" t="s">
        <v>201</v>
      </c>
      <c r="B18" s="16" t="s">
        <v>205</v>
      </c>
      <c r="C18" s="16" t="s">
        <v>206</v>
      </c>
      <c r="D18" s="16" t="s">
        <v>168</v>
      </c>
      <c r="E18" s="16" t="s">
        <v>174</v>
      </c>
      <c r="F18" s="17" t="n">
        <v>210000</v>
      </c>
      <c r="G18" s="21" t="n">
        <v>0</v>
      </c>
      <c r="H18" s="13" t="n">
        <f aca="false">IF($B18="","",SUMIFS('AHSP - Komponen'!$G$8:$G$87,'AHSP - Komponen'!$A$8:$A$87,B18))</f>
        <v>0</v>
      </c>
      <c r="I18" s="13" t="n">
        <f aca="false">IF($B18="","",IF(E18="Manual",F18,H18*(1+G18)))</f>
        <v>210000</v>
      </c>
    </row>
    <row r="19" customFormat="false" ht="15" hidden="false" customHeight="false" outlineLevel="0" collapsed="false">
      <c r="A19" s="16" t="s">
        <v>207</v>
      </c>
      <c r="B19" s="16" t="s">
        <v>208</v>
      </c>
      <c r="C19" s="16" t="s">
        <v>209</v>
      </c>
      <c r="D19" s="16" t="s">
        <v>168</v>
      </c>
      <c r="E19" s="16" t="s">
        <v>174</v>
      </c>
      <c r="F19" s="17" t="n">
        <v>0</v>
      </c>
      <c r="G19" s="21" t="n">
        <v>0</v>
      </c>
      <c r="H19" s="13" t="n">
        <f aca="false">IF($B19="","",SUMIFS('AHSP - Komponen'!$G$8:$G$87,'AHSP - Komponen'!$A$8:$A$87,B19))</f>
        <v>0</v>
      </c>
      <c r="I19" s="13" t="n">
        <f aca="false">IF($B19="","",IF(E19="Manual",F19,H19*(1+G19)))</f>
        <v>0</v>
      </c>
    </row>
    <row r="20" customFormat="false" ht="15" hidden="false" customHeight="false" outlineLevel="0" collapsed="false">
      <c r="A20" s="16" t="s">
        <v>207</v>
      </c>
      <c r="B20" s="16" t="s">
        <v>210</v>
      </c>
      <c r="C20" s="16" t="s">
        <v>211</v>
      </c>
      <c r="D20" s="16" t="s">
        <v>212</v>
      </c>
      <c r="E20" s="16" t="s">
        <v>174</v>
      </c>
      <c r="F20" s="17" t="n">
        <v>0</v>
      </c>
      <c r="G20" s="21" t="n">
        <v>0</v>
      </c>
      <c r="H20" s="13" t="n">
        <f aca="false">IF($B20="","",SUMIFS('AHSP - Komponen'!$G$8:$G$87,'AHSP - Komponen'!$A$8:$A$87,B20))</f>
        <v>0</v>
      </c>
      <c r="I20" s="13" t="n">
        <f aca="false">IF($B20="","",IF(E20="Manual",F20,H20*(1+G20)))</f>
        <v>0</v>
      </c>
    </row>
    <row r="21" customFormat="false" ht="15" hidden="false" customHeight="false" outlineLevel="0" collapsed="false">
      <c r="A21" s="16" t="s">
        <v>207</v>
      </c>
      <c r="B21" s="16" t="s">
        <v>213</v>
      </c>
      <c r="C21" s="16" t="s">
        <v>214</v>
      </c>
      <c r="D21" s="16" t="s">
        <v>212</v>
      </c>
      <c r="E21" s="16" t="s">
        <v>174</v>
      </c>
      <c r="F21" s="17" t="n">
        <v>0</v>
      </c>
      <c r="G21" s="21" t="n">
        <v>0</v>
      </c>
      <c r="H21" s="13" t="n">
        <f aca="false">IF($B21="","",SUMIFS('AHSP - Komponen'!$G$8:$G$87,'AHSP - Komponen'!$A$8:$A$87,B21))</f>
        <v>0</v>
      </c>
      <c r="I21" s="13" t="n">
        <f aca="false">IF($B21="","",IF(E21="Manual",F21,H21*(1+G21)))</f>
        <v>0</v>
      </c>
    </row>
    <row r="22" customFormat="false" ht="15" hidden="false" customHeight="false" outlineLevel="0" collapsed="false">
      <c r="A22" s="16" t="s">
        <v>207</v>
      </c>
      <c r="B22" s="16" t="s">
        <v>215</v>
      </c>
      <c r="C22" s="16" t="s">
        <v>216</v>
      </c>
      <c r="D22" s="16" t="s">
        <v>168</v>
      </c>
      <c r="E22" s="16" t="s">
        <v>174</v>
      </c>
      <c r="F22" s="17" t="n">
        <v>0</v>
      </c>
      <c r="G22" s="21" t="n">
        <v>0</v>
      </c>
      <c r="H22" s="13" t="n">
        <f aca="false">IF($B22="","",SUMIFS('AHSP - Komponen'!$G$8:$G$87,'AHSP - Komponen'!$A$8:$A$87,B22))</f>
        <v>0</v>
      </c>
      <c r="I22" s="13" t="n">
        <f aca="false">IF($B22="","",IF(E22="Manual",F22,H22*(1+G22)))</f>
        <v>0</v>
      </c>
    </row>
    <row r="23" customFormat="false" ht="15" hidden="false" customHeight="false" outlineLevel="0" collapsed="false">
      <c r="A23" s="16"/>
      <c r="B23" s="16"/>
      <c r="C23" s="16"/>
      <c r="D23" s="16"/>
      <c r="E23" s="16"/>
      <c r="F23" s="17"/>
      <c r="G23" s="21"/>
      <c r="H23" s="13" t="str">
        <f aca="false">IF($B23="","",SUMIFS('AHSP - Komponen'!$G$8:$G$87,'AHSP - Komponen'!$A$8:$A$87,B23))</f>
        <v/>
      </c>
      <c r="I23" s="13" t="str">
        <f aca="false">IF($B23="","",IF(E23="Manual",F23,H23*(1+G23)))</f>
        <v/>
      </c>
    </row>
    <row r="24" customFormat="false" ht="15" hidden="false" customHeight="false" outlineLevel="0" collapsed="false">
      <c r="A24" s="16"/>
      <c r="B24" s="16"/>
      <c r="C24" s="16"/>
      <c r="D24" s="16"/>
      <c r="E24" s="16"/>
      <c r="F24" s="17"/>
      <c r="G24" s="21"/>
      <c r="H24" s="13" t="str">
        <f aca="false">IF($B24="","",SUMIFS('AHSP - Komponen'!$G$8:$G$87,'AHSP - Komponen'!$A$8:$A$87,B24))</f>
        <v/>
      </c>
      <c r="I24" s="13" t="str">
        <f aca="false">IF($B24="","",IF(E24="Manual",F24,H24*(1+G24)))</f>
        <v/>
      </c>
    </row>
    <row r="25" customFormat="false" ht="15" hidden="false" customHeight="false" outlineLevel="0" collapsed="false">
      <c r="A25" s="16"/>
      <c r="B25" s="16"/>
      <c r="C25" s="16"/>
      <c r="D25" s="16"/>
      <c r="E25" s="16"/>
      <c r="F25" s="17"/>
      <c r="G25" s="21"/>
      <c r="H25" s="13" t="str">
        <f aca="false">IF($B25="","",SUMIFS('AHSP - Komponen'!$G$8:$G$87,'AHSP - Komponen'!$A$8:$A$87,B25))</f>
        <v/>
      </c>
      <c r="I25" s="13" t="str">
        <f aca="false">IF($B25="","",IF(E25="Manual",F25,H25*(1+G25)))</f>
        <v/>
      </c>
    </row>
    <row r="26" customFormat="false" ht="15" hidden="false" customHeight="false" outlineLevel="0" collapsed="false">
      <c r="A26" s="16"/>
      <c r="B26" s="16"/>
      <c r="C26" s="16"/>
      <c r="D26" s="16"/>
      <c r="E26" s="16"/>
      <c r="F26" s="17"/>
      <c r="G26" s="21"/>
      <c r="H26" s="13" t="str">
        <f aca="false">IF($B26="","",SUMIFS('AHSP - Komponen'!$G$8:$G$87,'AHSP - Komponen'!$A$8:$A$87,B26))</f>
        <v/>
      </c>
      <c r="I26" s="13" t="str">
        <f aca="false">IF($B26="","",IF(E26="Manual",F26,H26*(1+G26)))</f>
        <v/>
      </c>
    </row>
    <row r="27" customFormat="false" ht="15" hidden="false" customHeight="false" outlineLevel="0" collapsed="false">
      <c r="A27" s="16"/>
      <c r="B27" s="16"/>
      <c r="C27" s="16"/>
      <c r="D27" s="16"/>
      <c r="E27" s="16"/>
      <c r="F27" s="17"/>
      <c r="G27" s="21"/>
      <c r="H27" s="13" t="str">
        <f aca="false">IF($B27="","",SUMIFS('AHSP - Komponen'!$G$8:$G$87,'AHSP - Komponen'!$A$8:$A$87,B27))</f>
        <v/>
      </c>
      <c r="I27" s="13" t="str">
        <f aca="false">IF($B27="","",IF(E27="Manual",F27,H27*(1+G27)))</f>
        <v/>
      </c>
    </row>
    <row r="28" customFormat="false" ht="15" hidden="false" customHeight="false" outlineLevel="0" collapsed="false">
      <c r="A28" s="16"/>
      <c r="B28" s="16"/>
      <c r="C28" s="16"/>
      <c r="D28" s="16"/>
      <c r="E28" s="16"/>
      <c r="F28" s="17"/>
      <c r="G28" s="21"/>
      <c r="H28" s="13" t="str">
        <f aca="false">IF($B28="","",SUMIFS('AHSP - Komponen'!$G$8:$G$87,'AHSP - Komponen'!$A$8:$A$87,B28))</f>
        <v/>
      </c>
      <c r="I28" s="13" t="str">
        <f aca="false">IF($B28="","",IF(E28="Manual",F28,H28*(1+G28)))</f>
        <v/>
      </c>
    </row>
    <row r="29" customFormat="false" ht="15" hidden="false" customHeight="false" outlineLevel="0" collapsed="false">
      <c r="A29" s="16"/>
      <c r="B29" s="16"/>
      <c r="C29" s="16"/>
      <c r="D29" s="16"/>
      <c r="E29" s="16"/>
      <c r="F29" s="17"/>
      <c r="G29" s="21"/>
      <c r="H29" s="13" t="str">
        <f aca="false">IF($B29="","",SUMIFS('AHSP - Komponen'!$G$8:$G$87,'AHSP - Komponen'!$A$8:$A$87,B29))</f>
        <v/>
      </c>
      <c r="I29" s="13" t="str">
        <f aca="false">IF($B29="","",IF(E29="Manual",F29,H29*(1+G29)))</f>
        <v/>
      </c>
    </row>
    <row r="30" customFormat="false" ht="15" hidden="false" customHeight="false" outlineLevel="0" collapsed="false">
      <c r="A30" s="16"/>
      <c r="B30" s="16"/>
      <c r="C30" s="16"/>
      <c r="D30" s="16"/>
      <c r="E30" s="16"/>
      <c r="F30" s="17"/>
      <c r="G30" s="21"/>
      <c r="H30" s="13" t="str">
        <f aca="false">IF($B30="","",SUMIFS('AHSP - Komponen'!$G$8:$G$87,'AHSP - Komponen'!$A$8:$A$87,B30))</f>
        <v/>
      </c>
      <c r="I30" s="13" t="str">
        <f aca="false">IF($B30="","",IF(E30="Manual",F30,H30*(1+G30)))</f>
        <v/>
      </c>
    </row>
    <row r="31" customFormat="false" ht="15" hidden="false" customHeight="false" outlineLevel="0" collapsed="false">
      <c r="A31" s="16"/>
      <c r="B31" s="16"/>
      <c r="C31" s="16"/>
      <c r="D31" s="16"/>
      <c r="E31" s="16"/>
      <c r="F31" s="17"/>
      <c r="G31" s="21"/>
      <c r="H31" s="13" t="str">
        <f aca="false">IF($B31="","",SUMIFS('AHSP - Komponen'!$G$8:$G$87,'AHSP - Komponen'!$A$8:$A$87,B31))</f>
        <v/>
      </c>
      <c r="I31" s="13" t="str">
        <f aca="false">IF($B31="","",IF(E31="Manual",F31,H31*(1+G31)))</f>
        <v/>
      </c>
    </row>
    <row r="32" customFormat="false" ht="15" hidden="false" customHeight="false" outlineLevel="0" collapsed="false">
      <c r="A32" s="16"/>
      <c r="B32" s="16"/>
      <c r="C32" s="16"/>
      <c r="D32" s="16"/>
      <c r="E32" s="16"/>
      <c r="F32" s="17"/>
      <c r="G32" s="21"/>
      <c r="H32" s="13" t="str">
        <f aca="false">IF($B32="","",SUMIFS('AHSP - Komponen'!$G$8:$G$87,'AHSP - Komponen'!$A$8:$A$87,B32))</f>
        <v/>
      </c>
      <c r="I32" s="13" t="str">
        <f aca="false">IF($B32="","",IF(E32="Manual",F32,H32*(1+G32)))</f>
        <v/>
      </c>
    </row>
    <row r="33" customFormat="false" ht="15" hidden="false" customHeight="false" outlineLevel="0" collapsed="false">
      <c r="A33" s="16"/>
      <c r="B33" s="16"/>
      <c r="C33" s="16"/>
      <c r="D33" s="16"/>
      <c r="E33" s="16"/>
      <c r="F33" s="17"/>
      <c r="G33" s="21"/>
      <c r="H33" s="13" t="str">
        <f aca="false">IF($B33="","",SUMIFS('AHSP - Komponen'!$G$8:$G$87,'AHSP - Komponen'!$A$8:$A$87,B33))</f>
        <v/>
      </c>
      <c r="I33" s="13" t="str">
        <f aca="false">IF($B33="","",IF(E33="Manual",F33,H33*(1+G33)))</f>
        <v/>
      </c>
    </row>
    <row r="34" customFormat="false" ht="15" hidden="false" customHeight="false" outlineLevel="0" collapsed="false">
      <c r="A34" s="16"/>
      <c r="B34" s="16"/>
      <c r="C34" s="16"/>
      <c r="D34" s="16"/>
      <c r="E34" s="16"/>
      <c r="F34" s="17"/>
      <c r="G34" s="21"/>
      <c r="H34" s="13" t="str">
        <f aca="false">IF($B34="","",SUMIFS('AHSP - Komponen'!$G$8:$G$87,'AHSP - Komponen'!$A$8:$A$87,B34))</f>
        <v/>
      </c>
      <c r="I34" s="13" t="str">
        <f aca="false">IF($B34="","",IF(E34="Manual",F34,H34*(1+G34)))</f>
        <v/>
      </c>
    </row>
    <row r="35" customFormat="false" ht="15" hidden="false" customHeight="false" outlineLevel="0" collapsed="false">
      <c r="A35" s="16"/>
      <c r="B35" s="16"/>
      <c r="C35" s="16"/>
      <c r="D35" s="16"/>
      <c r="E35" s="16"/>
      <c r="F35" s="17"/>
      <c r="G35" s="21"/>
      <c r="H35" s="13" t="str">
        <f aca="false">IF($B35="","",SUMIFS('AHSP - Komponen'!$G$8:$G$87,'AHSP - Komponen'!$A$8:$A$87,B35))</f>
        <v/>
      </c>
      <c r="I35" s="13" t="str">
        <f aca="false">IF($B35="","",IF(E35="Manual",F35,H35*(1+G35)))</f>
        <v/>
      </c>
    </row>
    <row r="36" customFormat="false" ht="15" hidden="false" customHeight="false" outlineLevel="0" collapsed="false">
      <c r="A36" s="16"/>
      <c r="B36" s="16"/>
      <c r="C36" s="16"/>
      <c r="D36" s="16"/>
      <c r="E36" s="16"/>
      <c r="F36" s="17"/>
      <c r="G36" s="21"/>
      <c r="H36" s="13" t="str">
        <f aca="false">IF($B36="","",SUMIFS('AHSP - Komponen'!$G$8:$G$87,'AHSP - Komponen'!$A$8:$A$87,B36))</f>
        <v/>
      </c>
      <c r="I36" s="13" t="str">
        <f aca="false">IF($B36="","",IF(E36="Manual",F36,H36*(1+G36)))</f>
        <v/>
      </c>
    </row>
    <row r="37" customFormat="false" ht="15" hidden="false" customHeight="false" outlineLevel="0" collapsed="false">
      <c r="A37" s="16"/>
      <c r="B37" s="16"/>
      <c r="C37" s="16"/>
      <c r="D37" s="16"/>
      <c r="E37" s="16"/>
      <c r="F37" s="17"/>
      <c r="G37" s="21"/>
      <c r="H37" s="13" t="str">
        <f aca="false">IF($B37="","",SUMIFS('AHSP - Komponen'!$G$8:$G$87,'AHSP - Komponen'!$A$8:$A$87,B37))</f>
        <v/>
      </c>
      <c r="I37" s="13" t="str">
        <f aca="false">IF($B37="","",IF(E37="Manual",F37,H37*(1+G37)))</f>
        <v/>
      </c>
    </row>
    <row r="38" customFormat="false" ht="15" hidden="false" customHeight="false" outlineLevel="0" collapsed="false">
      <c r="A38" s="16"/>
      <c r="B38" s="16"/>
      <c r="C38" s="16"/>
      <c r="D38" s="16"/>
      <c r="E38" s="16"/>
      <c r="F38" s="17"/>
      <c r="G38" s="21"/>
      <c r="H38" s="13" t="str">
        <f aca="false">IF($B38="","",SUMIFS('AHSP - Komponen'!$G$8:$G$87,'AHSP - Komponen'!$A$8:$A$87,B38))</f>
        <v/>
      </c>
      <c r="I38" s="13" t="str">
        <f aca="false">IF($B38="","",IF(E38="Manual",F38,H38*(1+G38)))</f>
        <v/>
      </c>
    </row>
    <row r="39" customFormat="false" ht="15" hidden="false" customHeight="false" outlineLevel="0" collapsed="false">
      <c r="A39" s="16"/>
      <c r="B39" s="16"/>
      <c r="C39" s="16"/>
      <c r="D39" s="16"/>
      <c r="E39" s="16"/>
      <c r="F39" s="17"/>
      <c r="G39" s="21"/>
      <c r="H39" s="13" t="str">
        <f aca="false">IF($B39="","",SUMIFS('AHSP - Komponen'!$G$8:$G$87,'AHSP - Komponen'!$A$8:$A$87,B39))</f>
        <v/>
      </c>
      <c r="I39" s="13" t="str">
        <f aca="false">IF($B39="","",IF(E39="Manual",F39,H39*(1+G39)))</f>
        <v/>
      </c>
    </row>
    <row r="40" customFormat="false" ht="15" hidden="false" customHeight="false" outlineLevel="0" collapsed="false">
      <c r="A40" s="16"/>
      <c r="B40" s="16"/>
      <c r="C40" s="16"/>
      <c r="D40" s="16"/>
      <c r="E40" s="16"/>
      <c r="F40" s="17"/>
      <c r="G40" s="21"/>
      <c r="H40" s="13" t="str">
        <f aca="false">IF($B40="","",SUMIFS('AHSP - Komponen'!$G$8:$G$87,'AHSP - Komponen'!$A$8:$A$87,B40))</f>
        <v/>
      </c>
      <c r="I40" s="13" t="str">
        <f aca="false">IF($B40="","",IF(E40="Manual",F40,H40*(1+G40)))</f>
        <v/>
      </c>
    </row>
    <row r="41" customFormat="false" ht="15" hidden="false" customHeight="false" outlineLevel="0" collapsed="false">
      <c r="A41" s="16"/>
      <c r="B41" s="16"/>
      <c r="C41" s="16"/>
      <c r="D41" s="16"/>
      <c r="E41" s="16"/>
      <c r="F41" s="17"/>
      <c r="G41" s="21"/>
      <c r="H41" s="13" t="str">
        <f aca="false">IF($B41="","",SUMIFS('AHSP - Komponen'!$G$8:$G$87,'AHSP - Komponen'!$A$8:$A$87,B41))</f>
        <v/>
      </c>
      <c r="I41" s="13" t="str">
        <f aca="false">IF($B41="","",IF(E41="Manual",F41,H41*(1+G41)))</f>
        <v/>
      </c>
    </row>
    <row r="42" customFormat="false" ht="15" hidden="false" customHeight="false" outlineLevel="0" collapsed="false">
      <c r="A42" s="16"/>
      <c r="B42" s="16"/>
      <c r="C42" s="16"/>
      <c r="D42" s="16"/>
      <c r="E42" s="16"/>
      <c r="F42" s="17"/>
      <c r="G42" s="21"/>
      <c r="H42" s="13" t="str">
        <f aca="false">IF($B42="","",SUMIFS('AHSP - Komponen'!$G$8:$G$87,'AHSP - Komponen'!$A$8:$A$87,B42))</f>
        <v/>
      </c>
      <c r="I42" s="13" t="str">
        <f aca="false">IF($B42="","",IF(E42="Manual",F42,H42*(1+G42)))</f>
        <v/>
      </c>
    </row>
    <row r="43" customFormat="false" ht="15" hidden="false" customHeight="false" outlineLevel="0" collapsed="false">
      <c r="A43" s="16"/>
      <c r="B43" s="16"/>
      <c r="C43" s="16"/>
      <c r="D43" s="16"/>
      <c r="E43" s="16"/>
      <c r="F43" s="17"/>
      <c r="G43" s="21"/>
      <c r="H43" s="13" t="str">
        <f aca="false">IF($B43="","",SUMIFS('AHSP - Komponen'!$G$8:$G$87,'AHSP - Komponen'!$A$8:$A$87,B43))</f>
        <v/>
      </c>
      <c r="I43" s="13" t="str">
        <f aca="false">IF($B43="","",IF(E43="Manual",F43,H43*(1+G43)))</f>
        <v/>
      </c>
    </row>
  </sheetData>
  <dataValidations count="3">
    <dataValidation allowBlank="true" errorStyle="stop" operator="between" showDropDown="false" showErrorMessage="false" showInputMessage="false" sqref="A4:A43" type="list">
      <formula1>Data!$F$2:$F$11</formula1>
      <formula2>0</formula2>
    </dataValidation>
    <dataValidation allowBlank="true" errorStyle="stop" operator="between" showDropDown="false" showErrorMessage="false" showInputMessage="false" sqref="D4:D43" type="list">
      <formula1>Data!$G$2:$G$12</formula1>
      <formula2>0</formula2>
    </dataValidation>
    <dataValidation allowBlank="true" errorStyle="stop" operator="between" showDropDown="false" showErrorMessage="false" showInputMessage="false" sqref="E4:E43" type="list">
      <formula1>Data!$M$2:$M$3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78D6"/>
    <pageSetUpPr fitToPage="false"/>
  </sheetPr>
  <dimension ref="A1:G8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9"/>
    <col collapsed="false" customWidth="true" hidden="false" outlineLevel="0" max="3" min="3" style="0" width="26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7" min="6" style="0" width="13"/>
  </cols>
  <sheetData>
    <row r="1" customFormat="false" ht="19.7" hidden="false" customHeight="false" outlineLevel="0" collapsed="false">
      <c r="A1" s="1" t="s">
        <v>217</v>
      </c>
    </row>
    <row r="2" customFormat="false" ht="15" hidden="false" customHeight="false" outlineLevel="0" collapsed="false">
      <c r="A2" s="2" t="s">
        <v>218</v>
      </c>
    </row>
    <row r="7" customFormat="false" ht="27.75" hidden="false" customHeight="true" outlineLevel="0" collapsed="false">
      <c r="A7" s="9" t="s">
        <v>219</v>
      </c>
      <c r="B7" s="10" t="s">
        <v>220</v>
      </c>
      <c r="C7" s="10" t="s">
        <v>221</v>
      </c>
      <c r="D7" s="10" t="s">
        <v>147</v>
      </c>
      <c r="E7" s="10" t="s">
        <v>222</v>
      </c>
      <c r="F7" s="10" t="s">
        <v>150</v>
      </c>
      <c r="G7" s="10" t="s">
        <v>17</v>
      </c>
    </row>
    <row r="8" customFormat="false" ht="15" hidden="false" customHeight="false" outlineLevel="0" collapsed="false">
      <c r="A8" s="16" t="s">
        <v>166</v>
      </c>
      <c r="B8" s="16" t="s">
        <v>223</v>
      </c>
      <c r="C8" s="16" t="s">
        <v>224</v>
      </c>
      <c r="D8" s="16" t="s">
        <v>225</v>
      </c>
      <c r="E8" s="31" t="n">
        <v>70</v>
      </c>
      <c r="F8" s="17" t="n">
        <v>700</v>
      </c>
      <c r="G8" s="13" t="n">
        <f aca="false">IF($A8="","",E8*F8)</f>
        <v>49000</v>
      </c>
    </row>
    <row r="9" customFormat="false" ht="15" hidden="false" customHeight="false" outlineLevel="0" collapsed="false">
      <c r="A9" s="16" t="s">
        <v>166</v>
      </c>
      <c r="B9" s="16" t="s">
        <v>223</v>
      </c>
      <c r="C9" s="16" t="s">
        <v>226</v>
      </c>
      <c r="D9" s="16" t="s">
        <v>204</v>
      </c>
      <c r="E9" s="31" t="n">
        <v>9.68</v>
      </c>
      <c r="F9" s="17" t="n">
        <v>1700</v>
      </c>
      <c r="G9" s="13" t="n">
        <f aca="false">IF($A9="","",E9*F9)</f>
        <v>16456</v>
      </c>
    </row>
    <row r="10" customFormat="false" ht="15" hidden="false" customHeight="false" outlineLevel="0" collapsed="false">
      <c r="A10" s="16" t="s">
        <v>166</v>
      </c>
      <c r="B10" s="16" t="s">
        <v>223</v>
      </c>
      <c r="C10" s="16" t="s">
        <v>227</v>
      </c>
      <c r="D10" s="16" t="s">
        <v>228</v>
      </c>
      <c r="E10" s="31" t="n">
        <v>0.045</v>
      </c>
      <c r="F10" s="17" t="n">
        <v>250000</v>
      </c>
      <c r="G10" s="13" t="n">
        <f aca="false">IF($A10="","",E10*F10)</f>
        <v>11250</v>
      </c>
    </row>
    <row r="11" customFormat="false" ht="15" hidden="false" customHeight="false" outlineLevel="0" collapsed="false">
      <c r="A11" s="16" t="s">
        <v>166</v>
      </c>
      <c r="B11" s="16" t="s">
        <v>229</v>
      </c>
      <c r="C11" s="16" t="s">
        <v>230</v>
      </c>
      <c r="D11" s="16" t="s">
        <v>231</v>
      </c>
      <c r="E11" s="31" t="n">
        <v>0.3</v>
      </c>
      <c r="F11" s="17" t="n">
        <v>120000</v>
      </c>
      <c r="G11" s="13" t="n">
        <f aca="false">IF($A11="","",E11*F11)</f>
        <v>36000</v>
      </c>
    </row>
    <row r="12" customFormat="false" ht="15" hidden="false" customHeight="false" outlineLevel="0" collapsed="false">
      <c r="A12" s="16" t="s">
        <v>166</v>
      </c>
      <c r="B12" s="16" t="s">
        <v>229</v>
      </c>
      <c r="C12" s="16" t="s">
        <v>232</v>
      </c>
      <c r="D12" s="16" t="s">
        <v>231</v>
      </c>
      <c r="E12" s="31" t="n">
        <v>0.6</v>
      </c>
      <c r="F12" s="17" t="n">
        <v>100000</v>
      </c>
      <c r="G12" s="13" t="n">
        <f aca="false">IF($A12="","",E12*F12)</f>
        <v>60000</v>
      </c>
    </row>
    <row r="13" customFormat="false" ht="15" hidden="false" customHeight="false" outlineLevel="0" collapsed="false">
      <c r="A13" s="16" t="s">
        <v>170</v>
      </c>
      <c r="B13" s="16" t="s">
        <v>223</v>
      </c>
      <c r="C13" s="16" t="s">
        <v>226</v>
      </c>
      <c r="D13" s="16" t="s">
        <v>204</v>
      </c>
      <c r="E13" s="31" t="n">
        <v>5.18</v>
      </c>
      <c r="F13" s="17" t="n">
        <v>1700</v>
      </c>
      <c r="G13" s="13" t="n">
        <f aca="false">IF($A13="","",E13*F13)</f>
        <v>8806</v>
      </c>
    </row>
    <row r="14" customFormat="false" ht="15" hidden="false" customHeight="false" outlineLevel="0" collapsed="false">
      <c r="A14" s="16" t="s">
        <v>170</v>
      </c>
      <c r="B14" s="16" t="s">
        <v>223</v>
      </c>
      <c r="C14" s="16" t="s">
        <v>227</v>
      </c>
      <c r="D14" s="16" t="s">
        <v>228</v>
      </c>
      <c r="E14" s="31" t="n">
        <v>0.023</v>
      </c>
      <c r="F14" s="17" t="n">
        <v>250000</v>
      </c>
      <c r="G14" s="13" t="n">
        <f aca="false">IF($A14="","",E14*F14)</f>
        <v>5750</v>
      </c>
    </row>
    <row r="15" customFormat="false" ht="15" hidden="false" customHeight="false" outlineLevel="0" collapsed="false">
      <c r="A15" s="16" t="s">
        <v>170</v>
      </c>
      <c r="B15" s="16" t="s">
        <v>229</v>
      </c>
      <c r="C15" s="16" t="s">
        <v>230</v>
      </c>
      <c r="D15" s="16" t="s">
        <v>231</v>
      </c>
      <c r="E15" s="31" t="n">
        <v>0.2</v>
      </c>
      <c r="F15" s="17" t="n">
        <v>120000</v>
      </c>
      <c r="G15" s="13" t="n">
        <f aca="false">IF($A15="","",E15*F15)</f>
        <v>24000</v>
      </c>
    </row>
    <row r="16" customFormat="false" ht="15" hidden="false" customHeight="false" outlineLevel="0" collapsed="false">
      <c r="A16" s="16" t="s">
        <v>170</v>
      </c>
      <c r="B16" s="16" t="s">
        <v>229</v>
      </c>
      <c r="C16" s="16" t="s">
        <v>232</v>
      </c>
      <c r="D16" s="16" t="s">
        <v>231</v>
      </c>
      <c r="E16" s="31" t="n">
        <v>0.25</v>
      </c>
      <c r="F16" s="17" t="n">
        <v>100000</v>
      </c>
      <c r="G16" s="13" t="n">
        <f aca="false">IF($A16="","",E16*F16)</f>
        <v>25000</v>
      </c>
    </row>
    <row r="17" customFormat="false" ht="15" hidden="false" customHeight="false" outlineLevel="0" collapsed="false">
      <c r="A17" s="16" t="s">
        <v>183</v>
      </c>
      <c r="B17" s="16" t="s">
        <v>223</v>
      </c>
      <c r="C17" s="16" t="s">
        <v>233</v>
      </c>
      <c r="D17" s="16" t="s">
        <v>234</v>
      </c>
      <c r="E17" s="31" t="n">
        <v>0.35</v>
      </c>
      <c r="F17" s="17" t="n">
        <v>75000</v>
      </c>
      <c r="G17" s="13" t="n">
        <f aca="false">IF($A17="","",E17*F17)</f>
        <v>26250</v>
      </c>
    </row>
    <row r="18" customFormat="false" ht="15" hidden="false" customHeight="false" outlineLevel="0" collapsed="false">
      <c r="A18" s="16" t="s">
        <v>183</v>
      </c>
      <c r="B18" s="16" t="s">
        <v>223</v>
      </c>
      <c r="C18" s="16" t="s">
        <v>235</v>
      </c>
      <c r="D18" s="16" t="s">
        <v>236</v>
      </c>
      <c r="E18" s="31" t="n">
        <v>1.2</v>
      </c>
      <c r="F18" s="17" t="n">
        <v>18000</v>
      </c>
      <c r="G18" s="13" t="n">
        <f aca="false">IF($A18="","",E18*F18)</f>
        <v>21600</v>
      </c>
    </row>
    <row r="19" customFormat="false" ht="15" hidden="false" customHeight="false" outlineLevel="0" collapsed="false">
      <c r="A19" s="16" t="s">
        <v>183</v>
      </c>
      <c r="B19" s="16" t="s">
        <v>229</v>
      </c>
      <c r="C19" s="16" t="s">
        <v>237</v>
      </c>
      <c r="D19" s="16" t="s">
        <v>231</v>
      </c>
      <c r="E19" s="31" t="n">
        <v>0.25</v>
      </c>
      <c r="F19" s="17" t="n">
        <v>120000</v>
      </c>
      <c r="G19" s="13" t="n">
        <f aca="false">IF($A19="","",E19*F19)</f>
        <v>30000</v>
      </c>
    </row>
    <row r="20" customFormat="false" ht="15" hidden="false" customHeight="false" outlineLevel="0" collapsed="false">
      <c r="A20" s="16" t="s">
        <v>183</v>
      </c>
      <c r="B20" s="16" t="s">
        <v>229</v>
      </c>
      <c r="C20" s="16" t="s">
        <v>232</v>
      </c>
      <c r="D20" s="16" t="s">
        <v>231</v>
      </c>
      <c r="E20" s="31" t="n">
        <v>0.25</v>
      </c>
      <c r="F20" s="17" t="n">
        <v>100000</v>
      </c>
      <c r="G20" s="13" t="n">
        <f aca="false">IF($A20="","",E20*F20)</f>
        <v>25000</v>
      </c>
    </row>
    <row r="21" customFormat="false" ht="15" hidden="false" customHeight="false" outlineLevel="0" collapsed="false">
      <c r="A21" s="16" t="s">
        <v>202</v>
      </c>
      <c r="B21" s="16" t="s">
        <v>223</v>
      </c>
      <c r="C21" s="16" t="s">
        <v>238</v>
      </c>
      <c r="D21" s="16" t="s">
        <v>204</v>
      </c>
      <c r="E21" s="31" t="n">
        <v>1.05</v>
      </c>
      <c r="F21" s="17" t="n">
        <v>18000</v>
      </c>
      <c r="G21" s="13" t="n">
        <f aca="false">IF($A21="","",E21*F21)</f>
        <v>18900</v>
      </c>
    </row>
    <row r="22" customFormat="false" ht="15" hidden="false" customHeight="false" outlineLevel="0" collapsed="false">
      <c r="A22" s="16" t="s">
        <v>202</v>
      </c>
      <c r="B22" s="16" t="s">
        <v>223</v>
      </c>
      <c r="C22" s="16" t="s">
        <v>239</v>
      </c>
      <c r="D22" s="16" t="s">
        <v>204</v>
      </c>
      <c r="E22" s="31" t="n">
        <v>0.05</v>
      </c>
      <c r="F22" s="17" t="n">
        <v>35000</v>
      </c>
      <c r="G22" s="13" t="n">
        <f aca="false">IF($A22="","",E22*F22)</f>
        <v>1750</v>
      </c>
    </row>
    <row r="23" customFormat="false" ht="15" hidden="false" customHeight="false" outlineLevel="0" collapsed="false">
      <c r="A23" s="16" t="s">
        <v>202</v>
      </c>
      <c r="B23" s="16" t="s">
        <v>229</v>
      </c>
      <c r="C23" s="16" t="s">
        <v>240</v>
      </c>
      <c r="D23" s="16" t="s">
        <v>231</v>
      </c>
      <c r="E23" s="31" t="n">
        <v>0.02</v>
      </c>
      <c r="F23" s="17" t="n">
        <v>150000</v>
      </c>
      <c r="G23" s="13" t="n">
        <f aca="false">IF($A23="","",E23*F23)</f>
        <v>3000</v>
      </c>
    </row>
    <row r="24" customFormat="false" ht="15" hidden="false" customHeight="false" outlineLevel="0" collapsed="false">
      <c r="A24" s="16" t="s">
        <v>202</v>
      </c>
      <c r="B24" s="16" t="s">
        <v>229</v>
      </c>
      <c r="C24" s="16" t="s">
        <v>232</v>
      </c>
      <c r="D24" s="16" t="s">
        <v>231</v>
      </c>
      <c r="E24" s="31" t="n">
        <v>0.03</v>
      </c>
      <c r="F24" s="17" t="n">
        <v>100000</v>
      </c>
      <c r="G24" s="13" t="n">
        <f aca="false">IF($A24="","",E24*F24)</f>
        <v>3000</v>
      </c>
    </row>
    <row r="25" customFormat="false" ht="15" hidden="false" customHeight="false" outlineLevel="0" collapsed="false">
      <c r="A25" s="16"/>
      <c r="B25" s="16"/>
      <c r="C25" s="16"/>
      <c r="D25" s="16"/>
      <c r="E25" s="31"/>
      <c r="F25" s="17"/>
      <c r="G25" s="13" t="str">
        <f aca="false">IF($A25="","",E25*F25)</f>
        <v/>
      </c>
    </row>
    <row r="26" customFormat="false" ht="15" hidden="false" customHeight="false" outlineLevel="0" collapsed="false">
      <c r="A26" s="16"/>
      <c r="B26" s="16"/>
      <c r="C26" s="16"/>
      <c r="D26" s="16"/>
      <c r="E26" s="31"/>
      <c r="F26" s="17"/>
      <c r="G26" s="13" t="str">
        <f aca="false">IF($A26="","",E26*F26)</f>
        <v/>
      </c>
    </row>
    <row r="27" customFormat="false" ht="15" hidden="false" customHeight="false" outlineLevel="0" collapsed="false">
      <c r="A27" s="16"/>
      <c r="B27" s="16"/>
      <c r="C27" s="16"/>
      <c r="D27" s="16"/>
      <c r="E27" s="31"/>
      <c r="F27" s="17"/>
      <c r="G27" s="13" t="str">
        <f aca="false">IF($A27="","",E27*F27)</f>
        <v/>
      </c>
    </row>
    <row r="28" customFormat="false" ht="15" hidden="false" customHeight="false" outlineLevel="0" collapsed="false">
      <c r="A28" s="16"/>
      <c r="B28" s="16"/>
      <c r="C28" s="16"/>
      <c r="D28" s="16"/>
      <c r="E28" s="31"/>
      <c r="F28" s="17"/>
      <c r="G28" s="13" t="str">
        <f aca="false">IF($A28="","",E28*F28)</f>
        <v/>
      </c>
    </row>
    <row r="29" customFormat="false" ht="15" hidden="false" customHeight="false" outlineLevel="0" collapsed="false">
      <c r="A29" s="16"/>
      <c r="B29" s="16"/>
      <c r="C29" s="16"/>
      <c r="D29" s="16"/>
      <c r="E29" s="31"/>
      <c r="F29" s="17"/>
      <c r="G29" s="13" t="str">
        <f aca="false">IF($A29="","",E29*F29)</f>
        <v/>
      </c>
    </row>
    <row r="30" customFormat="false" ht="15" hidden="false" customHeight="false" outlineLevel="0" collapsed="false">
      <c r="A30" s="16"/>
      <c r="B30" s="16"/>
      <c r="C30" s="16"/>
      <c r="D30" s="16"/>
      <c r="E30" s="31"/>
      <c r="F30" s="17"/>
      <c r="G30" s="13" t="str">
        <f aca="false">IF($A30="","",E30*F30)</f>
        <v/>
      </c>
    </row>
    <row r="31" customFormat="false" ht="15" hidden="false" customHeight="false" outlineLevel="0" collapsed="false">
      <c r="A31" s="16"/>
      <c r="B31" s="16"/>
      <c r="C31" s="16"/>
      <c r="D31" s="16"/>
      <c r="E31" s="31"/>
      <c r="F31" s="17"/>
      <c r="G31" s="13" t="str">
        <f aca="false">IF($A31="","",E31*F31)</f>
        <v/>
      </c>
    </row>
    <row r="32" customFormat="false" ht="15" hidden="false" customHeight="false" outlineLevel="0" collapsed="false">
      <c r="A32" s="16"/>
      <c r="B32" s="16"/>
      <c r="C32" s="16"/>
      <c r="D32" s="16"/>
      <c r="E32" s="31"/>
      <c r="F32" s="17"/>
      <c r="G32" s="13" t="str">
        <f aca="false">IF($A32="","",E32*F32)</f>
        <v/>
      </c>
    </row>
    <row r="33" customFormat="false" ht="15" hidden="false" customHeight="false" outlineLevel="0" collapsed="false">
      <c r="A33" s="16"/>
      <c r="B33" s="16"/>
      <c r="C33" s="16"/>
      <c r="D33" s="16"/>
      <c r="E33" s="31"/>
      <c r="F33" s="17"/>
      <c r="G33" s="13" t="str">
        <f aca="false">IF($A33="","",E33*F33)</f>
        <v/>
      </c>
    </row>
    <row r="34" customFormat="false" ht="15" hidden="false" customHeight="false" outlineLevel="0" collapsed="false">
      <c r="A34" s="16"/>
      <c r="B34" s="16"/>
      <c r="C34" s="16"/>
      <c r="D34" s="16"/>
      <c r="E34" s="31"/>
      <c r="F34" s="17"/>
      <c r="G34" s="13" t="str">
        <f aca="false">IF($A34="","",E34*F34)</f>
        <v/>
      </c>
    </row>
    <row r="35" customFormat="false" ht="15" hidden="false" customHeight="false" outlineLevel="0" collapsed="false">
      <c r="A35" s="16"/>
      <c r="B35" s="16"/>
      <c r="C35" s="16"/>
      <c r="D35" s="16"/>
      <c r="E35" s="31"/>
      <c r="F35" s="17"/>
      <c r="G35" s="13" t="str">
        <f aca="false">IF($A35="","",E35*F35)</f>
        <v/>
      </c>
    </row>
    <row r="36" customFormat="false" ht="15" hidden="false" customHeight="false" outlineLevel="0" collapsed="false">
      <c r="A36" s="16"/>
      <c r="B36" s="16"/>
      <c r="C36" s="16"/>
      <c r="D36" s="16"/>
      <c r="E36" s="31"/>
      <c r="F36" s="17"/>
      <c r="G36" s="13" t="str">
        <f aca="false">IF($A36="","",E36*F36)</f>
        <v/>
      </c>
    </row>
    <row r="37" customFormat="false" ht="15" hidden="false" customHeight="false" outlineLevel="0" collapsed="false">
      <c r="A37" s="16"/>
      <c r="B37" s="16"/>
      <c r="C37" s="16"/>
      <c r="D37" s="16"/>
      <c r="E37" s="31"/>
      <c r="F37" s="17"/>
      <c r="G37" s="13" t="str">
        <f aca="false">IF($A37="","",E37*F37)</f>
        <v/>
      </c>
    </row>
    <row r="38" customFormat="false" ht="15" hidden="false" customHeight="false" outlineLevel="0" collapsed="false">
      <c r="A38" s="16"/>
      <c r="B38" s="16"/>
      <c r="C38" s="16"/>
      <c r="D38" s="16"/>
      <c r="E38" s="31"/>
      <c r="F38" s="17"/>
      <c r="G38" s="13" t="str">
        <f aca="false">IF($A38="","",E38*F38)</f>
        <v/>
      </c>
    </row>
    <row r="39" customFormat="false" ht="15" hidden="false" customHeight="false" outlineLevel="0" collapsed="false">
      <c r="A39" s="16"/>
      <c r="B39" s="16"/>
      <c r="C39" s="16"/>
      <c r="D39" s="16"/>
      <c r="E39" s="31"/>
      <c r="F39" s="17"/>
      <c r="G39" s="13" t="str">
        <f aca="false">IF($A39="","",E39*F39)</f>
        <v/>
      </c>
    </row>
    <row r="40" customFormat="false" ht="15" hidden="false" customHeight="false" outlineLevel="0" collapsed="false">
      <c r="A40" s="16"/>
      <c r="B40" s="16"/>
      <c r="C40" s="16"/>
      <c r="D40" s="16"/>
      <c r="E40" s="31"/>
      <c r="F40" s="17"/>
      <c r="G40" s="13" t="str">
        <f aca="false">IF($A40="","",E40*F40)</f>
        <v/>
      </c>
    </row>
    <row r="41" customFormat="false" ht="15" hidden="false" customHeight="false" outlineLevel="0" collapsed="false">
      <c r="A41" s="16"/>
      <c r="B41" s="16"/>
      <c r="C41" s="16"/>
      <c r="D41" s="16"/>
      <c r="E41" s="31"/>
      <c r="F41" s="17"/>
      <c r="G41" s="13" t="str">
        <f aca="false">IF($A41="","",E41*F41)</f>
        <v/>
      </c>
    </row>
    <row r="42" customFormat="false" ht="15" hidden="false" customHeight="false" outlineLevel="0" collapsed="false">
      <c r="A42" s="16"/>
      <c r="B42" s="16"/>
      <c r="C42" s="16"/>
      <c r="D42" s="16"/>
      <c r="E42" s="31"/>
      <c r="F42" s="17"/>
      <c r="G42" s="13" t="str">
        <f aca="false">IF($A42="","",E42*F42)</f>
        <v/>
      </c>
    </row>
    <row r="43" customFormat="false" ht="15" hidden="false" customHeight="false" outlineLevel="0" collapsed="false">
      <c r="A43" s="16"/>
      <c r="B43" s="16"/>
      <c r="C43" s="16"/>
      <c r="D43" s="16"/>
      <c r="E43" s="31"/>
      <c r="F43" s="17"/>
      <c r="G43" s="13" t="str">
        <f aca="false">IF($A43="","",E43*F43)</f>
        <v/>
      </c>
    </row>
    <row r="44" customFormat="false" ht="15" hidden="false" customHeight="false" outlineLevel="0" collapsed="false">
      <c r="A44" s="16"/>
      <c r="B44" s="16"/>
      <c r="C44" s="16"/>
      <c r="D44" s="16"/>
      <c r="E44" s="31"/>
      <c r="F44" s="17"/>
      <c r="G44" s="13" t="str">
        <f aca="false">IF($A44="","",E44*F44)</f>
        <v/>
      </c>
    </row>
    <row r="45" customFormat="false" ht="15" hidden="false" customHeight="false" outlineLevel="0" collapsed="false">
      <c r="A45" s="16"/>
      <c r="B45" s="16"/>
      <c r="C45" s="16"/>
      <c r="D45" s="16"/>
      <c r="E45" s="31"/>
      <c r="F45" s="17"/>
      <c r="G45" s="13" t="str">
        <f aca="false">IF($A45="","",E45*F45)</f>
        <v/>
      </c>
    </row>
    <row r="46" customFormat="false" ht="15" hidden="false" customHeight="false" outlineLevel="0" collapsed="false">
      <c r="A46" s="16"/>
      <c r="B46" s="16"/>
      <c r="C46" s="16"/>
      <c r="D46" s="16"/>
      <c r="E46" s="31"/>
      <c r="F46" s="17"/>
      <c r="G46" s="13" t="str">
        <f aca="false">IF($A46="","",E46*F46)</f>
        <v/>
      </c>
    </row>
    <row r="47" customFormat="false" ht="15" hidden="false" customHeight="false" outlineLevel="0" collapsed="false">
      <c r="A47" s="16"/>
      <c r="B47" s="16"/>
      <c r="C47" s="16"/>
      <c r="D47" s="16"/>
      <c r="E47" s="31"/>
      <c r="F47" s="17"/>
      <c r="G47" s="13" t="str">
        <f aca="false">IF($A47="","",E47*F47)</f>
        <v/>
      </c>
    </row>
    <row r="48" customFormat="false" ht="15" hidden="false" customHeight="false" outlineLevel="0" collapsed="false">
      <c r="A48" s="16"/>
      <c r="B48" s="16"/>
      <c r="C48" s="16"/>
      <c r="D48" s="16"/>
      <c r="E48" s="31"/>
      <c r="F48" s="17"/>
      <c r="G48" s="13" t="str">
        <f aca="false">IF($A48="","",E48*F48)</f>
        <v/>
      </c>
    </row>
    <row r="49" customFormat="false" ht="15" hidden="false" customHeight="false" outlineLevel="0" collapsed="false">
      <c r="A49" s="16"/>
      <c r="B49" s="16"/>
      <c r="C49" s="16"/>
      <c r="D49" s="16"/>
      <c r="E49" s="31"/>
      <c r="F49" s="17"/>
      <c r="G49" s="13" t="str">
        <f aca="false">IF($A49="","",E49*F49)</f>
        <v/>
      </c>
    </row>
    <row r="50" customFormat="false" ht="15" hidden="false" customHeight="false" outlineLevel="0" collapsed="false">
      <c r="A50" s="16"/>
      <c r="B50" s="16"/>
      <c r="C50" s="16"/>
      <c r="D50" s="16"/>
      <c r="E50" s="31"/>
      <c r="F50" s="17"/>
      <c r="G50" s="13" t="str">
        <f aca="false">IF($A50="","",E50*F50)</f>
        <v/>
      </c>
    </row>
    <row r="51" customFormat="false" ht="15" hidden="false" customHeight="false" outlineLevel="0" collapsed="false">
      <c r="A51" s="16"/>
      <c r="B51" s="16"/>
      <c r="C51" s="16"/>
      <c r="D51" s="16"/>
      <c r="E51" s="31"/>
      <c r="F51" s="17"/>
      <c r="G51" s="13" t="str">
        <f aca="false">IF($A51="","",E51*F51)</f>
        <v/>
      </c>
    </row>
    <row r="52" customFormat="false" ht="15" hidden="false" customHeight="false" outlineLevel="0" collapsed="false">
      <c r="A52" s="16"/>
      <c r="B52" s="16"/>
      <c r="C52" s="16"/>
      <c r="D52" s="16"/>
      <c r="E52" s="31"/>
      <c r="F52" s="17"/>
      <c r="G52" s="13" t="str">
        <f aca="false">IF($A52="","",E52*F52)</f>
        <v/>
      </c>
    </row>
    <row r="53" customFormat="false" ht="15" hidden="false" customHeight="false" outlineLevel="0" collapsed="false">
      <c r="A53" s="16"/>
      <c r="B53" s="16"/>
      <c r="C53" s="16"/>
      <c r="D53" s="16"/>
      <c r="E53" s="31"/>
      <c r="F53" s="17"/>
      <c r="G53" s="13" t="str">
        <f aca="false">IF($A53="","",E53*F53)</f>
        <v/>
      </c>
    </row>
    <row r="54" customFormat="false" ht="15" hidden="false" customHeight="false" outlineLevel="0" collapsed="false">
      <c r="A54" s="16"/>
      <c r="B54" s="16"/>
      <c r="C54" s="16"/>
      <c r="D54" s="16"/>
      <c r="E54" s="31"/>
      <c r="F54" s="17"/>
      <c r="G54" s="13" t="str">
        <f aca="false">IF($A54="","",E54*F54)</f>
        <v/>
      </c>
    </row>
    <row r="55" customFormat="false" ht="15" hidden="false" customHeight="false" outlineLevel="0" collapsed="false">
      <c r="A55" s="16"/>
      <c r="B55" s="16"/>
      <c r="C55" s="16"/>
      <c r="D55" s="16"/>
      <c r="E55" s="31"/>
      <c r="F55" s="17"/>
      <c r="G55" s="13" t="str">
        <f aca="false">IF($A55="","",E55*F55)</f>
        <v/>
      </c>
    </row>
    <row r="56" customFormat="false" ht="15" hidden="false" customHeight="false" outlineLevel="0" collapsed="false">
      <c r="A56" s="16"/>
      <c r="B56" s="16"/>
      <c r="C56" s="16"/>
      <c r="D56" s="16"/>
      <c r="E56" s="31"/>
      <c r="F56" s="17"/>
      <c r="G56" s="13" t="str">
        <f aca="false">IF($A56="","",E56*F56)</f>
        <v/>
      </c>
    </row>
    <row r="57" customFormat="false" ht="15" hidden="false" customHeight="false" outlineLevel="0" collapsed="false">
      <c r="A57" s="16"/>
      <c r="B57" s="16"/>
      <c r="C57" s="16"/>
      <c r="D57" s="16"/>
      <c r="E57" s="31"/>
      <c r="F57" s="17"/>
      <c r="G57" s="13" t="str">
        <f aca="false">IF($A57="","",E57*F57)</f>
        <v/>
      </c>
    </row>
    <row r="58" customFormat="false" ht="15" hidden="false" customHeight="false" outlineLevel="0" collapsed="false">
      <c r="A58" s="16"/>
      <c r="B58" s="16"/>
      <c r="C58" s="16"/>
      <c r="D58" s="16"/>
      <c r="E58" s="31"/>
      <c r="F58" s="17"/>
      <c r="G58" s="13" t="str">
        <f aca="false">IF($A58="","",E58*F58)</f>
        <v/>
      </c>
    </row>
    <row r="59" customFormat="false" ht="15" hidden="false" customHeight="false" outlineLevel="0" collapsed="false">
      <c r="A59" s="16"/>
      <c r="B59" s="16"/>
      <c r="C59" s="16"/>
      <c r="D59" s="16"/>
      <c r="E59" s="31"/>
      <c r="F59" s="17"/>
      <c r="G59" s="13" t="str">
        <f aca="false">IF($A59="","",E59*F59)</f>
        <v/>
      </c>
    </row>
    <row r="60" customFormat="false" ht="15" hidden="false" customHeight="false" outlineLevel="0" collapsed="false">
      <c r="A60" s="16"/>
      <c r="B60" s="16"/>
      <c r="C60" s="16"/>
      <c r="D60" s="16"/>
      <c r="E60" s="31"/>
      <c r="F60" s="17"/>
      <c r="G60" s="13" t="str">
        <f aca="false">IF($A60="","",E60*F60)</f>
        <v/>
      </c>
    </row>
    <row r="61" customFormat="false" ht="15" hidden="false" customHeight="false" outlineLevel="0" collapsed="false">
      <c r="A61" s="16"/>
      <c r="B61" s="16"/>
      <c r="C61" s="16"/>
      <c r="D61" s="16"/>
      <c r="E61" s="31"/>
      <c r="F61" s="17"/>
      <c r="G61" s="13" t="str">
        <f aca="false">IF($A61="","",E61*F61)</f>
        <v/>
      </c>
    </row>
    <row r="62" customFormat="false" ht="15" hidden="false" customHeight="false" outlineLevel="0" collapsed="false">
      <c r="A62" s="16"/>
      <c r="B62" s="16"/>
      <c r="C62" s="16"/>
      <c r="D62" s="16"/>
      <c r="E62" s="31"/>
      <c r="F62" s="17"/>
      <c r="G62" s="13" t="str">
        <f aca="false">IF($A62="","",E62*F62)</f>
        <v/>
      </c>
    </row>
    <row r="63" customFormat="false" ht="15" hidden="false" customHeight="false" outlineLevel="0" collapsed="false">
      <c r="A63" s="16"/>
      <c r="B63" s="16"/>
      <c r="C63" s="16"/>
      <c r="D63" s="16"/>
      <c r="E63" s="31"/>
      <c r="F63" s="17"/>
      <c r="G63" s="13" t="str">
        <f aca="false">IF($A63="","",E63*F63)</f>
        <v/>
      </c>
    </row>
    <row r="64" customFormat="false" ht="15" hidden="false" customHeight="false" outlineLevel="0" collapsed="false">
      <c r="A64" s="16"/>
      <c r="B64" s="16"/>
      <c r="C64" s="16"/>
      <c r="D64" s="16"/>
      <c r="E64" s="31"/>
      <c r="F64" s="17"/>
      <c r="G64" s="13" t="str">
        <f aca="false">IF($A64="","",E64*F64)</f>
        <v/>
      </c>
    </row>
    <row r="65" customFormat="false" ht="15" hidden="false" customHeight="false" outlineLevel="0" collapsed="false">
      <c r="A65" s="16"/>
      <c r="B65" s="16"/>
      <c r="C65" s="16"/>
      <c r="D65" s="16"/>
      <c r="E65" s="31"/>
      <c r="F65" s="17"/>
      <c r="G65" s="13" t="str">
        <f aca="false">IF($A65="","",E65*F65)</f>
        <v/>
      </c>
    </row>
    <row r="66" customFormat="false" ht="15" hidden="false" customHeight="false" outlineLevel="0" collapsed="false">
      <c r="A66" s="16"/>
      <c r="B66" s="16"/>
      <c r="C66" s="16"/>
      <c r="D66" s="16"/>
      <c r="E66" s="31"/>
      <c r="F66" s="17"/>
      <c r="G66" s="13" t="str">
        <f aca="false">IF($A66="","",E66*F66)</f>
        <v/>
      </c>
    </row>
    <row r="67" customFormat="false" ht="15" hidden="false" customHeight="false" outlineLevel="0" collapsed="false">
      <c r="A67" s="16"/>
      <c r="B67" s="16"/>
      <c r="C67" s="16"/>
      <c r="D67" s="16"/>
      <c r="E67" s="31"/>
      <c r="F67" s="17"/>
      <c r="G67" s="13" t="str">
        <f aca="false">IF($A67="","",E67*F67)</f>
        <v/>
      </c>
    </row>
    <row r="68" customFormat="false" ht="15" hidden="false" customHeight="false" outlineLevel="0" collapsed="false">
      <c r="A68" s="16"/>
      <c r="B68" s="16"/>
      <c r="C68" s="16"/>
      <c r="D68" s="16"/>
      <c r="E68" s="31"/>
      <c r="F68" s="17"/>
      <c r="G68" s="13" t="str">
        <f aca="false">IF($A68="","",E68*F68)</f>
        <v/>
      </c>
    </row>
    <row r="69" customFormat="false" ht="15" hidden="false" customHeight="false" outlineLevel="0" collapsed="false">
      <c r="A69" s="16"/>
      <c r="B69" s="16"/>
      <c r="C69" s="16"/>
      <c r="D69" s="16"/>
      <c r="E69" s="31"/>
      <c r="F69" s="17"/>
      <c r="G69" s="13" t="str">
        <f aca="false">IF($A69="","",E69*F69)</f>
        <v/>
      </c>
    </row>
    <row r="70" customFormat="false" ht="15" hidden="false" customHeight="false" outlineLevel="0" collapsed="false">
      <c r="A70" s="16"/>
      <c r="B70" s="16"/>
      <c r="C70" s="16"/>
      <c r="D70" s="16"/>
      <c r="E70" s="31"/>
      <c r="F70" s="17"/>
      <c r="G70" s="13" t="str">
        <f aca="false">IF($A70="","",E70*F70)</f>
        <v/>
      </c>
    </row>
    <row r="71" customFormat="false" ht="15" hidden="false" customHeight="false" outlineLevel="0" collapsed="false">
      <c r="A71" s="16"/>
      <c r="B71" s="16"/>
      <c r="C71" s="16"/>
      <c r="D71" s="16"/>
      <c r="E71" s="31"/>
      <c r="F71" s="17"/>
      <c r="G71" s="13" t="str">
        <f aca="false">IF($A71="","",E71*F71)</f>
        <v/>
      </c>
    </row>
    <row r="72" customFormat="false" ht="15" hidden="false" customHeight="false" outlineLevel="0" collapsed="false">
      <c r="A72" s="16"/>
      <c r="B72" s="16"/>
      <c r="C72" s="16"/>
      <c r="D72" s="16"/>
      <c r="E72" s="31"/>
      <c r="F72" s="17"/>
      <c r="G72" s="13" t="str">
        <f aca="false">IF($A72="","",E72*F72)</f>
        <v/>
      </c>
    </row>
    <row r="73" customFormat="false" ht="15" hidden="false" customHeight="false" outlineLevel="0" collapsed="false">
      <c r="A73" s="16"/>
      <c r="B73" s="16"/>
      <c r="C73" s="16"/>
      <c r="D73" s="16"/>
      <c r="E73" s="31"/>
      <c r="F73" s="17"/>
      <c r="G73" s="13" t="str">
        <f aca="false">IF($A73="","",E73*F73)</f>
        <v/>
      </c>
    </row>
    <row r="74" customFormat="false" ht="15" hidden="false" customHeight="false" outlineLevel="0" collapsed="false">
      <c r="A74" s="16"/>
      <c r="B74" s="16"/>
      <c r="C74" s="16"/>
      <c r="D74" s="16"/>
      <c r="E74" s="31"/>
      <c r="F74" s="17"/>
      <c r="G74" s="13" t="str">
        <f aca="false">IF($A74="","",E74*F74)</f>
        <v/>
      </c>
    </row>
    <row r="75" customFormat="false" ht="15" hidden="false" customHeight="false" outlineLevel="0" collapsed="false">
      <c r="A75" s="16"/>
      <c r="B75" s="16"/>
      <c r="C75" s="16"/>
      <c r="D75" s="16"/>
      <c r="E75" s="31"/>
      <c r="F75" s="17"/>
      <c r="G75" s="13" t="str">
        <f aca="false">IF($A75="","",E75*F75)</f>
        <v/>
      </c>
    </row>
    <row r="76" customFormat="false" ht="15" hidden="false" customHeight="false" outlineLevel="0" collapsed="false">
      <c r="A76" s="16"/>
      <c r="B76" s="16"/>
      <c r="C76" s="16"/>
      <c r="D76" s="16"/>
      <c r="E76" s="31"/>
      <c r="F76" s="17"/>
      <c r="G76" s="13" t="str">
        <f aca="false">IF($A76="","",E76*F76)</f>
        <v/>
      </c>
    </row>
    <row r="77" customFormat="false" ht="15" hidden="false" customHeight="false" outlineLevel="0" collapsed="false">
      <c r="A77" s="16"/>
      <c r="B77" s="16"/>
      <c r="C77" s="16"/>
      <c r="D77" s="16"/>
      <c r="E77" s="31"/>
      <c r="F77" s="17"/>
      <c r="G77" s="13" t="str">
        <f aca="false">IF($A77="","",E77*F77)</f>
        <v/>
      </c>
    </row>
    <row r="78" customFormat="false" ht="15" hidden="false" customHeight="false" outlineLevel="0" collapsed="false">
      <c r="A78" s="16"/>
      <c r="B78" s="16"/>
      <c r="C78" s="16"/>
      <c r="D78" s="16"/>
      <c r="E78" s="31"/>
      <c r="F78" s="17"/>
      <c r="G78" s="13" t="str">
        <f aca="false">IF($A78="","",E78*F78)</f>
        <v/>
      </c>
    </row>
    <row r="79" customFormat="false" ht="15" hidden="false" customHeight="false" outlineLevel="0" collapsed="false">
      <c r="A79" s="16"/>
      <c r="B79" s="16"/>
      <c r="C79" s="16"/>
      <c r="D79" s="16"/>
      <c r="E79" s="31"/>
      <c r="F79" s="17"/>
      <c r="G79" s="13" t="str">
        <f aca="false">IF($A79="","",E79*F79)</f>
        <v/>
      </c>
    </row>
    <row r="80" customFormat="false" ht="15" hidden="false" customHeight="false" outlineLevel="0" collapsed="false">
      <c r="A80" s="16"/>
      <c r="B80" s="16"/>
      <c r="C80" s="16"/>
      <c r="D80" s="16"/>
      <c r="E80" s="31"/>
      <c r="F80" s="17"/>
      <c r="G80" s="13" t="str">
        <f aca="false">IF($A80="","",E80*F80)</f>
        <v/>
      </c>
    </row>
    <row r="81" customFormat="false" ht="15" hidden="false" customHeight="false" outlineLevel="0" collapsed="false">
      <c r="A81" s="16"/>
      <c r="B81" s="16"/>
      <c r="C81" s="16"/>
      <c r="D81" s="16"/>
      <c r="E81" s="31"/>
      <c r="F81" s="17"/>
      <c r="G81" s="13" t="str">
        <f aca="false">IF($A81="","",E81*F81)</f>
        <v/>
      </c>
    </row>
    <row r="82" customFormat="false" ht="15" hidden="false" customHeight="false" outlineLevel="0" collapsed="false">
      <c r="A82" s="16"/>
      <c r="B82" s="16"/>
      <c r="C82" s="16"/>
      <c r="D82" s="16"/>
      <c r="E82" s="31"/>
      <c r="F82" s="17"/>
      <c r="G82" s="13" t="str">
        <f aca="false">IF($A82="","",E82*F82)</f>
        <v/>
      </c>
    </row>
    <row r="83" customFormat="false" ht="15" hidden="false" customHeight="false" outlineLevel="0" collapsed="false">
      <c r="A83" s="16"/>
      <c r="B83" s="16"/>
      <c r="C83" s="16"/>
      <c r="D83" s="16"/>
      <c r="E83" s="31"/>
      <c r="F83" s="17"/>
      <c r="G83" s="13" t="str">
        <f aca="false">IF($A83="","",E83*F83)</f>
        <v/>
      </c>
    </row>
    <row r="84" customFormat="false" ht="15" hidden="false" customHeight="false" outlineLevel="0" collapsed="false">
      <c r="A84" s="16"/>
      <c r="B84" s="16"/>
      <c r="C84" s="16"/>
      <c r="D84" s="16"/>
      <c r="E84" s="31"/>
      <c r="F84" s="17"/>
      <c r="G84" s="13" t="str">
        <f aca="false">IF($A84="","",E84*F84)</f>
        <v/>
      </c>
    </row>
    <row r="85" customFormat="false" ht="15" hidden="false" customHeight="false" outlineLevel="0" collapsed="false">
      <c r="A85" s="16"/>
      <c r="B85" s="16"/>
      <c r="C85" s="16"/>
      <c r="D85" s="16"/>
      <c r="E85" s="31"/>
      <c r="F85" s="17"/>
      <c r="G85" s="13" t="str">
        <f aca="false">IF($A85="","",E85*F85)</f>
        <v/>
      </c>
    </row>
    <row r="86" customFormat="false" ht="15" hidden="false" customHeight="false" outlineLevel="0" collapsed="false">
      <c r="A86" s="16"/>
      <c r="B86" s="16"/>
      <c r="C86" s="16"/>
      <c r="D86" s="16"/>
      <c r="E86" s="31"/>
      <c r="F86" s="17"/>
      <c r="G86" s="13" t="str">
        <f aca="false">IF($A86="","",E86*F86)</f>
        <v/>
      </c>
    </row>
    <row r="87" customFormat="false" ht="15" hidden="false" customHeight="false" outlineLevel="0" collapsed="false">
      <c r="A87" s="16"/>
      <c r="B87" s="16"/>
      <c r="C87" s="16"/>
      <c r="D87" s="16"/>
      <c r="E87" s="31"/>
      <c r="F87" s="17"/>
      <c r="G87" s="13" t="str">
        <f aca="false">IF($A87="","",E87*F87)</f>
        <v/>
      </c>
    </row>
  </sheetData>
  <dataValidations count="2">
    <dataValidation allowBlank="true" errorStyle="stop" operator="between" showDropDown="false" showErrorMessage="false" showInputMessage="false" sqref="A8:A87" type="list">
      <formula1>AHSP!$B$4:$B$43</formula1>
      <formula2>0</formula2>
    </dataValidation>
    <dataValidation allowBlank="true" errorStyle="stop" operator="between" showDropDown="false" showErrorMessage="false" showInputMessage="false" sqref="B8:B87" type="list">
      <formula1>Data!$H$2:$H$4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78D6"/>
    <pageSetUpPr fitToPage="false"/>
  </sheetPr>
  <dimension ref="A1:L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8"/>
    <col collapsed="false" customWidth="true" hidden="false" outlineLevel="0" max="5" min="5" style="0" width="12"/>
    <col collapsed="false" customWidth="true" hidden="false" outlineLevel="0" max="6" min="6" style="0" width="15"/>
    <col collapsed="false" customWidth="true" hidden="false" outlineLevel="0" max="7" min="7" style="0" width="8"/>
    <col collapsed="false" customWidth="true" hidden="false" outlineLevel="0" max="8" min="8" style="0" width="13"/>
    <col collapsed="false" customWidth="true" hidden="false" outlineLevel="0" max="9" min="9" style="0" width="8"/>
    <col collapsed="false" customWidth="true" hidden="false" outlineLevel="0" max="11" min="10" style="0" width="13"/>
    <col collapsed="false" customWidth="true" hidden="false" outlineLevel="0" max="12" min="12" style="0" width="15"/>
  </cols>
  <sheetData>
    <row r="1" customFormat="false" ht="19.7" hidden="false" customHeight="false" outlineLevel="0" collapsed="false">
      <c r="A1" s="1" t="s">
        <v>241</v>
      </c>
    </row>
    <row r="2" customFormat="false" ht="15" hidden="false" customHeight="false" outlineLevel="0" collapsed="false">
      <c r="A2" s="2" t="s">
        <v>242</v>
      </c>
    </row>
    <row r="3" customFormat="false" ht="27.75" hidden="false" customHeight="true" outlineLevel="0" collapsed="false">
      <c r="A3" s="9" t="s">
        <v>243</v>
      </c>
      <c r="B3" s="10" t="s">
        <v>244</v>
      </c>
      <c r="C3" s="10" t="s">
        <v>245</v>
      </c>
      <c r="D3" s="10" t="s">
        <v>6</v>
      </c>
      <c r="E3" s="10" t="s">
        <v>13</v>
      </c>
      <c r="F3" s="10" t="s">
        <v>246</v>
      </c>
      <c r="G3" s="10" t="s">
        <v>247</v>
      </c>
      <c r="H3" s="10" t="s">
        <v>248</v>
      </c>
      <c r="I3" s="10" t="s">
        <v>249</v>
      </c>
      <c r="J3" s="10" t="s">
        <v>250</v>
      </c>
      <c r="K3" s="10" t="s">
        <v>91</v>
      </c>
      <c r="L3" s="10" t="s">
        <v>251</v>
      </c>
    </row>
    <row r="4" customFormat="false" ht="15" hidden="false" customHeight="false" outlineLevel="0" collapsed="false">
      <c r="A4" s="16"/>
      <c r="B4" s="16"/>
      <c r="C4" s="16"/>
      <c r="D4" s="16"/>
      <c r="E4" s="15"/>
      <c r="F4" s="13" t="str">
        <f aca="false">IF($A4="","",SUMIFS('RAB - Item'!$F$8:$F$157,'RAB - Item'!$A$8:$A$157,A4))</f>
        <v/>
      </c>
      <c r="G4" s="21"/>
      <c r="H4" s="13" t="str">
        <f aca="false">IF($A4="","",F4*G4)</f>
        <v/>
      </c>
      <c r="I4" s="21"/>
      <c r="J4" s="13" t="str">
        <f aca="false">IF($A4="","",F4*I4)</f>
        <v/>
      </c>
      <c r="K4" s="17"/>
      <c r="L4" s="13" t="str">
        <f aca="false">IF($A4="","",F4+H4+J4+K4)</f>
        <v/>
      </c>
    </row>
    <row r="5" customFormat="false" ht="15" hidden="false" customHeight="false" outlineLevel="0" collapsed="false">
      <c r="A5" s="16"/>
      <c r="B5" s="16"/>
      <c r="C5" s="16"/>
      <c r="D5" s="16"/>
      <c r="E5" s="15"/>
      <c r="F5" s="13" t="str">
        <f aca="false">IF($A5="","",SUMIFS('RAB - Item'!$F$8:$F$157,'RAB - Item'!$A$8:$A$157,A5))</f>
        <v/>
      </c>
      <c r="G5" s="21"/>
      <c r="H5" s="13" t="str">
        <f aca="false">IF($A5="","",F5*G5)</f>
        <v/>
      </c>
      <c r="I5" s="21"/>
      <c r="J5" s="13" t="str">
        <f aca="false">IF($A5="","",F5*I5)</f>
        <v/>
      </c>
      <c r="K5" s="17"/>
      <c r="L5" s="13" t="str">
        <f aca="false">IF($A5="","",F5+H5+J5+K5)</f>
        <v/>
      </c>
    </row>
    <row r="6" customFormat="false" ht="15" hidden="false" customHeight="false" outlineLevel="0" collapsed="false">
      <c r="A6" s="16"/>
      <c r="B6" s="16"/>
      <c r="C6" s="16"/>
      <c r="D6" s="16"/>
      <c r="E6" s="15"/>
      <c r="F6" s="13" t="str">
        <f aca="false">IF($A6="","",SUMIFS('RAB - Item'!$F$8:$F$157,'RAB - Item'!$A$8:$A$157,A6))</f>
        <v/>
      </c>
      <c r="G6" s="21"/>
      <c r="H6" s="13" t="str">
        <f aca="false">IF($A6="","",F6*G6)</f>
        <v/>
      </c>
      <c r="I6" s="21"/>
      <c r="J6" s="13" t="str">
        <f aca="false">IF($A6="","",F6*I6)</f>
        <v/>
      </c>
      <c r="K6" s="17"/>
      <c r="L6" s="13" t="str">
        <f aca="false">IF($A6="","",F6+H6+J6+K6)</f>
        <v/>
      </c>
    </row>
    <row r="7" customFormat="false" ht="15" hidden="false" customHeight="false" outlineLevel="0" collapsed="false">
      <c r="A7" s="16"/>
      <c r="B7" s="16"/>
      <c r="C7" s="16"/>
      <c r="D7" s="16"/>
      <c r="E7" s="15"/>
      <c r="F7" s="13" t="str">
        <f aca="false">IF($A7="","",SUMIFS('RAB - Item'!$F$8:$F$157,'RAB - Item'!$A$8:$A$157,A7))</f>
        <v/>
      </c>
      <c r="G7" s="21"/>
      <c r="H7" s="13" t="str">
        <f aca="false">IF($A7="","",F7*G7)</f>
        <v/>
      </c>
      <c r="I7" s="21"/>
      <c r="J7" s="13" t="str">
        <f aca="false">IF($A7="","",F7*I7)</f>
        <v/>
      </c>
      <c r="K7" s="17"/>
      <c r="L7" s="13" t="str">
        <f aca="false">IF($A7="","",F7+H7+J7+K7)</f>
        <v/>
      </c>
    </row>
    <row r="8" customFormat="false" ht="15" hidden="false" customHeight="false" outlineLevel="0" collapsed="false">
      <c r="A8" s="16"/>
      <c r="B8" s="16"/>
      <c r="C8" s="16"/>
      <c r="D8" s="16"/>
      <c r="E8" s="15"/>
      <c r="F8" s="13" t="str">
        <f aca="false">IF($A8="","",SUMIFS('RAB - Item'!$F$8:$F$157,'RAB - Item'!$A$8:$A$157,A8))</f>
        <v/>
      </c>
      <c r="G8" s="21"/>
      <c r="H8" s="13" t="str">
        <f aca="false">IF($A8="","",F8*G8)</f>
        <v/>
      </c>
      <c r="I8" s="21"/>
      <c r="J8" s="13" t="str">
        <f aca="false">IF($A8="","",F8*I8)</f>
        <v/>
      </c>
      <c r="K8" s="17"/>
      <c r="L8" s="13" t="str">
        <f aca="false">IF($A8="","",F8+H8+J8+K8)</f>
        <v/>
      </c>
    </row>
    <row r="9" customFormat="false" ht="15" hidden="false" customHeight="false" outlineLevel="0" collapsed="false">
      <c r="A9" s="16"/>
      <c r="B9" s="16"/>
      <c r="C9" s="16"/>
      <c r="D9" s="16"/>
      <c r="E9" s="15"/>
      <c r="F9" s="13" t="str">
        <f aca="false">IF($A9="","",SUMIFS('RAB - Item'!$F$8:$F$157,'RAB - Item'!$A$8:$A$157,A9))</f>
        <v/>
      </c>
      <c r="G9" s="21"/>
      <c r="H9" s="13" t="str">
        <f aca="false">IF($A9="","",F9*G9)</f>
        <v/>
      </c>
      <c r="I9" s="21"/>
      <c r="J9" s="13" t="str">
        <f aca="false">IF($A9="","",F9*I9)</f>
        <v/>
      </c>
      <c r="K9" s="17"/>
      <c r="L9" s="13" t="str">
        <f aca="false">IF($A9="","",F9+H9+J9+K9)</f>
        <v/>
      </c>
    </row>
    <row r="10" customFormat="false" ht="15" hidden="false" customHeight="false" outlineLevel="0" collapsed="false">
      <c r="A10" s="16"/>
      <c r="B10" s="16"/>
      <c r="C10" s="16"/>
      <c r="D10" s="16"/>
      <c r="E10" s="15"/>
      <c r="F10" s="13" t="str">
        <f aca="false">IF($A10="","",SUMIFS('RAB - Item'!$F$8:$F$157,'RAB - Item'!$A$8:$A$157,A10))</f>
        <v/>
      </c>
      <c r="G10" s="21"/>
      <c r="H10" s="13" t="str">
        <f aca="false">IF($A10="","",F10*G10)</f>
        <v/>
      </c>
      <c r="I10" s="21"/>
      <c r="J10" s="13" t="str">
        <f aca="false">IF($A10="","",F10*I10)</f>
        <v/>
      </c>
      <c r="K10" s="17"/>
      <c r="L10" s="13" t="str">
        <f aca="false">IF($A10="","",F10+H10+J10+K10)</f>
        <v/>
      </c>
    </row>
    <row r="11" customFormat="false" ht="15" hidden="false" customHeight="false" outlineLevel="0" collapsed="false">
      <c r="A11" s="16"/>
      <c r="B11" s="16"/>
      <c r="C11" s="16"/>
      <c r="D11" s="16"/>
      <c r="E11" s="15"/>
      <c r="F11" s="13" t="str">
        <f aca="false">IF($A11="","",SUMIFS('RAB - Item'!$F$8:$F$157,'RAB - Item'!$A$8:$A$157,A11))</f>
        <v/>
      </c>
      <c r="G11" s="21"/>
      <c r="H11" s="13" t="str">
        <f aca="false">IF($A11="","",F11*G11)</f>
        <v/>
      </c>
      <c r="I11" s="21"/>
      <c r="J11" s="13" t="str">
        <f aca="false">IF($A11="","",F11*I11)</f>
        <v/>
      </c>
      <c r="K11" s="17"/>
      <c r="L11" s="13" t="str">
        <f aca="false">IF($A11="","",F11+H11+J11+K11)</f>
        <v/>
      </c>
    </row>
    <row r="12" customFormat="false" ht="15" hidden="false" customHeight="false" outlineLevel="0" collapsed="false">
      <c r="A12" s="16"/>
      <c r="B12" s="16"/>
      <c r="C12" s="16"/>
      <c r="D12" s="16"/>
      <c r="E12" s="15"/>
      <c r="F12" s="13" t="str">
        <f aca="false">IF($A12="","",SUMIFS('RAB - Item'!$F$8:$F$157,'RAB - Item'!$A$8:$A$157,A12))</f>
        <v/>
      </c>
      <c r="G12" s="21"/>
      <c r="H12" s="13" t="str">
        <f aca="false">IF($A12="","",F12*G12)</f>
        <v/>
      </c>
      <c r="I12" s="21"/>
      <c r="J12" s="13" t="str">
        <f aca="false">IF($A12="","",F12*I12)</f>
        <v/>
      </c>
      <c r="K12" s="17"/>
      <c r="L12" s="13" t="str">
        <f aca="false">IF($A12="","",F12+H12+J12+K12)</f>
        <v/>
      </c>
    </row>
    <row r="13" customFormat="false" ht="15" hidden="false" customHeight="false" outlineLevel="0" collapsed="false">
      <c r="A13" s="16"/>
      <c r="B13" s="16"/>
      <c r="C13" s="16"/>
      <c r="D13" s="16"/>
      <c r="E13" s="15"/>
      <c r="F13" s="13" t="str">
        <f aca="false">IF($A13="","",SUMIFS('RAB - Item'!$F$8:$F$157,'RAB - Item'!$A$8:$A$157,A13))</f>
        <v/>
      </c>
      <c r="G13" s="21"/>
      <c r="H13" s="13" t="str">
        <f aca="false">IF($A13="","",F13*G13)</f>
        <v/>
      </c>
      <c r="I13" s="21"/>
      <c r="J13" s="13" t="str">
        <f aca="false">IF($A13="","",F13*I13)</f>
        <v/>
      </c>
      <c r="K13" s="17"/>
      <c r="L13" s="13" t="str">
        <f aca="false">IF($A13="","",F13+H13+J13+K13)</f>
        <v/>
      </c>
    </row>
    <row r="14" customFormat="false" ht="15" hidden="false" customHeight="false" outlineLevel="0" collapsed="false">
      <c r="A14" s="16"/>
      <c r="B14" s="16"/>
      <c r="C14" s="16"/>
      <c r="D14" s="16"/>
      <c r="E14" s="15"/>
      <c r="F14" s="13" t="str">
        <f aca="false">IF($A14="","",SUMIFS('RAB - Item'!$F$8:$F$157,'RAB - Item'!$A$8:$A$157,A14))</f>
        <v/>
      </c>
      <c r="G14" s="21"/>
      <c r="H14" s="13" t="str">
        <f aca="false">IF($A14="","",F14*G14)</f>
        <v/>
      </c>
      <c r="I14" s="21"/>
      <c r="J14" s="13" t="str">
        <f aca="false">IF($A14="","",F14*I14)</f>
        <v/>
      </c>
      <c r="K14" s="17"/>
      <c r="L14" s="13" t="str">
        <f aca="false">IF($A14="","",F14+H14+J14+K14)</f>
        <v/>
      </c>
    </row>
    <row r="15" customFormat="false" ht="15" hidden="false" customHeight="false" outlineLevel="0" collapsed="false">
      <c r="A15" s="16"/>
      <c r="B15" s="16"/>
      <c r="C15" s="16"/>
      <c r="D15" s="16"/>
      <c r="E15" s="15"/>
      <c r="F15" s="13" t="str">
        <f aca="false">IF($A15="","",SUMIFS('RAB - Item'!$F$8:$F$157,'RAB - Item'!$A$8:$A$157,A15))</f>
        <v/>
      </c>
      <c r="G15" s="21"/>
      <c r="H15" s="13" t="str">
        <f aca="false">IF($A15="","",F15*G15)</f>
        <v/>
      </c>
      <c r="I15" s="21"/>
      <c r="J15" s="13" t="str">
        <f aca="false">IF($A15="","",F15*I15)</f>
        <v/>
      </c>
      <c r="K15" s="17"/>
      <c r="L15" s="13" t="str">
        <f aca="false">IF($A15="","",F15+H15+J15+K15)</f>
        <v/>
      </c>
    </row>
    <row r="16" customFormat="false" ht="15" hidden="false" customHeight="false" outlineLevel="0" collapsed="false">
      <c r="A16" s="16"/>
      <c r="B16" s="16"/>
      <c r="C16" s="16"/>
      <c r="D16" s="16"/>
      <c r="E16" s="15"/>
      <c r="F16" s="13" t="str">
        <f aca="false">IF($A16="","",SUMIFS('RAB - Item'!$F$8:$F$157,'RAB - Item'!$A$8:$A$157,A16))</f>
        <v/>
      </c>
      <c r="G16" s="21"/>
      <c r="H16" s="13" t="str">
        <f aca="false">IF($A16="","",F16*G16)</f>
        <v/>
      </c>
      <c r="I16" s="21"/>
      <c r="J16" s="13" t="str">
        <f aca="false">IF($A16="","",F16*I16)</f>
        <v/>
      </c>
      <c r="K16" s="17"/>
      <c r="L16" s="13" t="str">
        <f aca="false">IF($A16="","",F16+H16+J16+K16)</f>
        <v/>
      </c>
    </row>
    <row r="17" customFormat="false" ht="15" hidden="false" customHeight="false" outlineLevel="0" collapsed="false">
      <c r="A17" s="16"/>
      <c r="B17" s="16"/>
      <c r="C17" s="16"/>
      <c r="D17" s="16"/>
      <c r="E17" s="15"/>
      <c r="F17" s="13" t="str">
        <f aca="false">IF($A17="","",SUMIFS('RAB - Item'!$F$8:$F$157,'RAB - Item'!$A$8:$A$157,A17))</f>
        <v/>
      </c>
      <c r="G17" s="21"/>
      <c r="H17" s="13" t="str">
        <f aca="false">IF($A17="","",F17*G17)</f>
        <v/>
      </c>
      <c r="I17" s="21"/>
      <c r="J17" s="13" t="str">
        <f aca="false">IF($A17="","",F17*I17)</f>
        <v/>
      </c>
      <c r="K17" s="17"/>
      <c r="L17" s="13" t="str">
        <f aca="false">IF($A17="","",F17+H17+J17+K17)</f>
        <v/>
      </c>
    </row>
    <row r="18" customFormat="false" ht="15" hidden="false" customHeight="false" outlineLevel="0" collapsed="false">
      <c r="A18" s="16"/>
      <c r="B18" s="16"/>
      <c r="C18" s="16"/>
      <c r="D18" s="16"/>
      <c r="E18" s="15"/>
      <c r="F18" s="13" t="str">
        <f aca="false">IF($A18="","",SUMIFS('RAB - Item'!$F$8:$F$157,'RAB - Item'!$A$8:$A$157,A18))</f>
        <v/>
      </c>
      <c r="G18" s="21"/>
      <c r="H18" s="13" t="str">
        <f aca="false">IF($A18="","",F18*G18)</f>
        <v/>
      </c>
      <c r="I18" s="21"/>
      <c r="J18" s="13" t="str">
        <f aca="false">IF($A18="","",F18*I18)</f>
        <v/>
      </c>
      <c r="K18" s="17"/>
      <c r="L18" s="13" t="str">
        <f aca="false">IF($A18="","",F18+H18+J18+K18)</f>
        <v/>
      </c>
    </row>
    <row r="19" customFormat="false" ht="15" hidden="false" customHeight="false" outlineLevel="0" collapsed="false">
      <c r="A19" s="16"/>
      <c r="B19" s="16"/>
      <c r="C19" s="16"/>
      <c r="D19" s="16"/>
      <c r="E19" s="15"/>
      <c r="F19" s="13" t="str">
        <f aca="false">IF($A19="","",SUMIFS('RAB - Item'!$F$8:$F$157,'RAB - Item'!$A$8:$A$157,A19))</f>
        <v/>
      </c>
      <c r="G19" s="21"/>
      <c r="H19" s="13" t="str">
        <f aca="false">IF($A19="","",F19*G19)</f>
        <v/>
      </c>
      <c r="I19" s="21"/>
      <c r="J19" s="13" t="str">
        <f aca="false">IF($A19="","",F19*I19)</f>
        <v/>
      </c>
      <c r="K19" s="17"/>
      <c r="L19" s="13" t="str">
        <f aca="false">IF($A19="","",F19+H19+J19+K19)</f>
        <v/>
      </c>
    </row>
    <row r="20" customFormat="false" ht="15" hidden="false" customHeight="false" outlineLevel="0" collapsed="false">
      <c r="A20" s="16"/>
      <c r="B20" s="16"/>
      <c r="C20" s="16"/>
      <c r="D20" s="16"/>
      <c r="E20" s="15"/>
      <c r="F20" s="13" t="str">
        <f aca="false">IF($A20="","",SUMIFS('RAB - Item'!$F$8:$F$157,'RAB - Item'!$A$8:$A$157,A20))</f>
        <v/>
      </c>
      <c r="G20" s="21"/>
      <c r="H20" s="13" t="str">
        <f aca="false">IF($A20="","",F20*G20)</f>
        <v/>
      </c>
      <c r="I20" s="21"/>
      <c r="J20" s="13" t="str">
        <f aca="false">IF($A20="","",F20*I20)</f>
        <v/>
      </c>
      <c r="K20" s="17"/>
      <c r="L20" s="13" t="str">
        <f aca="false">IF($A20="","",F20+H20+J20+K20)</f>
        <v/>
      </c>
    </row>
    <row r="21" customFormat="false" ht="15" hidden="false" customHeight="false" outlineLevel="0" collapsed="false">
      <c r="A21" s="16"/>
      <c r="B21" s="16"/>
      <c r="C21" s="16"/>
      <c r="D21" s="16"/>
      <c r="E21" s="15"/>
      <c r="F21" s="13" t="str">
        <f aca="false">IF($A21="","",SUMIFS('RAB - Item'!$F$8:$F$157,'RAB - Item'!$A$8:$A$157,A21))</f>
        <v/>
      </c>
      <c r="G21" s="21"/>
      <c r="H21" s="13" t="str">
        <f aca="false">IF($A21="","",F21*G21)</f>
        <v/>
      </c>
      <c r="I21" s="21"/>
      <c r="J21" s="13" t="str">
        <f aca="false">IF($A21="","",F21*I21)</f>
        <v/>
      </c>
      <c r="K21" s="17"/>
      <c r="L21" s="13" t="str">
        <f aca="false">IF($A21="","",F21+H21+J21+K21)</f>
        <v/>
      </c>
    </row>
    <row r="22" customFormat="false" ht="15" hidden="false" customHeight="false" outlineLevel="0" collapsed="false">
      <c r="A22" s="16"/>
      <c r="B22" s="16"/>
      <c r="C22" s="16"/>
      <c r="D22" s="16"/>
      <c r="E22" s="15"/>
      <c r="F22" s="13" t="str">
        <f aca="false">IF($A22="","",SUMIFS('RAB - Item'!$F$8:$F$157,'RAB - Item'!$A$8:$A$157,A22))</f>
        <v/>
      </c>
      <c r="G22" s="21"/>
      <c r="H22" s="13" t="str">
        <f aca="false">IF($A22="","",F22*G22)</f>
        <v/>
      </c>
      <c r="I22" s="21"/>
      <c r="J22" s="13" t="str">
        <f aca="false">IF($A22="","",F22*I22)</f>
        <v/>
      </c>
      <c r="K22" s="17"/>
      <c r="L22" s="13" t="str">
        <f aca="false">IF($A22="","",F22+H22+J22+K22)</f>
        <v/>
      </c>
    </row>
    <row r="23" customFormat="false" ht="15" hidden="false" customHeight="false" outlineLevel="0" collapsed="false">
      <c r="A23" s="16"/>
      <c r="B23" s="16"/>
      <c r="C23" s="16"/>
      <c r="D23" s="16"/>
      <c r="E23" s="15"/>
      <c r="F23" s="13" t="str">
        <f aca="false">IF($A23="","",SUMIFS('RAB - Item'!$F$8:$F$157,'RAB - Item'!$A$8:$A$157,A23))</f>
        <v/>
      </c>
      <c r="G23" s="21"/>
      <c r="H23" s="13" t="str">
        <f aca="false">IF($A23="","",F23*G23)</f>
        <v/>
      </c>
      <c r="I23" s="21"/>
      <c r="J23" s="13" t="str">
        <f aca="false">IF($A23="","",F23*I23)</f>
        <v/>
      </c>
      <c r="K23" s="17"/>
      <c r="L23" s="13" t="str">
        <f aca="false">IF($A23="","",F23+H23+J23+K23)</f>
        <v/>
      </c>
    </row>
    <row r="24" customFormat="false" ht="15" hidden="false" customHeight="false" outlineLevel="0" collapsed="false">
      <c r="A24" s="16"/>
      <c r="B24" s="16"/>
      <c r="C24" s="16"/>
      <c r="D24" s="16"/>
      <c r="E24" s="15"/>
      <c r="F24" s="13" t="str">
        <f aca="false">IF($A24="","",SUMIFS('RAB - Item'!$F$8:$F$157,'RAB - Item'!$A$8:$A$157,A24))</f>
        <v/>
      </c>
      <c r="G24" s="21"/>
      <c r="H24" s="13" t="str">
        <f aca="false">IF($A24="","",F24*G24)</f>
        <v/>
      </c>
      <c r="I24" s="21"/>
      <c r="J24" s="13" t="str">
        <f aca="false">IF($A24="","",F24*I24)</f>
        <v/>
      </c>
      <c r="K24" s="17"/>
      <c r="L24" s="13" t="str">
        <f aca="false">IF($A24="","",F24+H24+J24+K24)</f>
        <v/>
      </c>
    </row>
    <row r="25" customFormat="false" ht="15" hidden="false" customHeight="false" outlineLevel="0" collapsed="false">
      <c r="A25" s="16"/>
      <c r="B25" s="16"/>
      <c r="C25" s="16"/>
      <c r="D25" s="16"/>
      <c r="E25" s="15"/>
      <c r="F25" s="13" t="str">
        <f aca="false">IF($A25="","",SUMIFS('RAB - Item'!$F$8:$F$157,'RAB - Item'!$A$8:$A$157,A25))</f>
        <v/>
      </c>
      <c r="G25" s="21"/>
      <c r="H25" s="13" t="str">
        <f aca="false">IF($A25="","",F25*G25)</f>
        <v/>
      </c>
      <c r="I25" s="21"/>
      <c r="J25" s="13" t="str">
        <f aca="false">IF($A25="","",F25*I25)</f>
        <v/>
      </c>
      <c r="K25" s="17"/>
      <c r="L25" s="13" t="str">
        <f aca="false">IF($A25="","",F25+H25+J25+K25)</f>
        <v/>
      </c>
    </row>
    <row r="26" customFormat="false" ht="15" hidden="false" customHeight="false" outlineLevel="0" collapsed="false">
      <c r="A26" s="16"/>
      <c r="B26" s="16"/>
      <c r="C26" s="16"/>
      <c r="D26" s="16"/>
      <c r="E26" s="15"/>
      <c r="F26" s="13" t="str">
        <f aca="false">IF($A26="","",SUMIFS('RAB - Item'!$F$8:$F$157,'RAB - Item'!$A$8:$A$157,A26))</f>
        <v/>
      </c>
      <c r="G26" s="21"/>
      <c r="H26" s="13" t="str">
        <f aca="false">IF($A26="","",F26*G26)</f>
        <v/>
      </c>
      <c r="I26" s="21"/>
      <c r="J26" s="13" t="str">
        <f aca="false">IF($A26="","",F26*I26)</f>
        <v/>
      </c>
      <c r="K26" s="17"/>
      <c r="L26" s="13" t="str">
        <f aca="false">IF($A26="","",F26+H26+J26+K26)</f>
        <v/>
      </c>
    </row>
    <row r="27" customFormat="false" ht="15" hidden="false" customHeight="false" outlineLevel="0" collapsed="false">
      <c r="A27" s="16"/>
      <c r="B27" s="16"/>
      <c r="C27" s="16"/>
      <c r="D27" s="16"/>
      <c r="E27" s="15"/>
      <c r="F27" s="13" t="str">
        <f aca="false">IF($A27="","",SUMIFS('RAB - Item'!$F$8:$F$157,'RAB - Item'!$A$8:$A$157,A27))</f>
        <v/>
      </c>
      <c r="G27" s="21"/>
      <c r="H27" s="13" t="str">
        <f aca="false">IF($A27="","",F27*G27)</f>
        <v/>
      </c>
      <c r="I27" s="21"/>
      <c r="J27" s="13" t="str">
        <f aca="false">IF($A27="","",F27*I27)</f>
        <v/>
      </c>
      <c r="K27" s="17"/>
      <c r="L27" s="13" t="str">
        <f aca="false">IF($A27="","",F27+H27+J27+K27)</f>
        <v/>
      </c>
    </row>
    <row r="28" customFormat="false" ht="15" hidden="false" customHeight="false" outlineLevel="0" collapsed="false">
      <c r="A28" s="16"/>
      <c r="B28" s="16"/>
      <c r="C28" s="16"/>
      <c r="D28" s="16"/>
      <c r="E28" s="15"/>
      <c r="F28" s="13" t="str">
        <f aca="false">IF($A28="","",SUMIFS('RAB - Item'!$F$8:$F$157,'RAB - Item'!$A$8:$A$157,A28))</f>
        <v/>
      </c>
      <c r="G28" s="21"/>
      <c r="H28" s="13" t="str">
        <f aca="false">IF($A28="","",F28*G28)</f>
        <v/>
      </c>
      <c r="I28" s="21"/>
      <c r="J28" s="13" t="str">
        <f aca="false">IF($A28="","",F28*I28)</f>
        <v/>
      </c>
      <c r="K28" s="17"/>
      <c r="L28" s="13" t="str">
        <f aca="false">IF($A28="","",F28+H28+J28+K28)</f>
        <v/>
      </c>
    </row>
    <row r="29" customFormat="false" ht="15" hidden="false" customHeight="false" outlineLevel="0" collapsed="false">
      <c r="A29" s="16"/>
      <c r="B29" s="16"/>
      <c r="C29" s="16"/>
      <c r="D29" s="16"/>
      <c r="E29" s="15"/>
      <c r="F29" s="13" t="str">
        <f aca="false">IF($A29="","",SUMIFS('RAB - Item'!$F$8:$F$157,'RAB - Item'!$A$8:$A$157,A29))</f>
        <v/>
      </c>
      <c r="G29" s="21"/>
      <c r="H29" s="13" t="str">
        <f aca="false">IF($A29="","",F29*G29)</f>
        <v/>
      </c>
      <c r="I29" s="21"/>
      <c r="J29" s="13" t="str">
        <f aca="false">IF($A29="","",F29*I29)</f>
        <v/>
      </c>
      <c r="K29" s="17"/>
      <c r="L29" s="13" t="str">
        <f aca="false">IF($A29="","",F29+H29+J29+K29)</f>
        <v/>
      </c>
    </row>
    <row r="30" customFormat="false" ht="15" hidden="false" customHeight="false" outlineLevel="0" collapsed="false">
      <c r="A30" s="16"/>
      <c r="B30" s="16"/>
      <c r="C30" s="16"/>
      <c r="D30" s="16"/>
      <c r="E30" s="15"/>
      <c r="F30" s="13" t="str">
        <f aca="false">IF($A30="","",SUMIFS('RAB - Item'!$F$8:$F$157,'RAB - Item'!$A$8:$A$157,A30))</f>
        <v/>
      </c>
      <c r="G30" s="21"/>
      <c r="H30" s="13" t="str">
        <f aca="false">IF($A30="","",F30*G30)</f>
        <v/>
      </c>
      <c r="I30" s="21"/>
      <c r="J30" s="13" t="str">
        <f aca="false">IF($A30="","",F30*I30)</f>
        <v/>
      </c>
      <c r="K30" s="17"/>
      <c r="L30" s="13" t="str">
        <f aca="false">IF($A30="","",F30+H30+J30+K30)</f>
        <v/>
      </c>
    </row>
    <row r="31" customFormat="false" ht="15" hidden="false" customHeight="false" outlineLevel="0" collapsed="false">
      <c r="A31" s="16"/>
      <c r="B31" s="16"/>
      <c r="C31" s="16"/>
      <c r="D31" s="16"/>
      <c r="E31" s="15"/>
      <c r="F31" s="13" t="str">
        <f aca="false">IF($A31="","",SUMIFS('RAB - Item'!$F$8:$F$157,'RAB - Item'!$A$8:$A$157,A31))</f>
        <v/>
      </c>
      <c r="G31" s="21"/>
      <c r="H31" s="13" t="str">
        <f aca="false">IF($A31="","",F31*G31)</f>
        <v/>
      </c>
      <c r="I31" s="21"/>
      <c r="J31" s="13" t="str">
        <f aca="false">IF($A31="","",F31*I31)</f>
        <v/>
      </c>
      <c r="K31" s="17"/>
      <c r="L31" s="13" t="str">
        <f aca="false">IF($A31="","",F31+H31+J31+K31)</f>
        <v/>
      </c>
    </row>
    <row r="32" customFormat="false" ht="15" hidden="false" customHeight="false" outlineLevel="0" collapsed="false">
      <c r="A32" s="16"/>
      <c r="B32" s="16"/>
      <c r="C32" s="16"/>
      <c r="D32" s="16"/>
      <c r="E32" s="15"/>
      <c r="F32" s="13" t="str">
        <f aca="false">IF($A32="","",SUMIFS('RAB - Item'!$F$8:$F$157,'RAB - Item'!$A$8:$A$157,A32))</f>
        <v/>
      </c>
      <c r="G32" s="21"/>
      <c r="H32" s="13" t="str">
        <f aca="false">IF($A32="","",F32*G32)</f>
        <v/>
      </c>
      <c r="I32" s="21"/>
      <c r="J32" s="13" t="str">
        <f aca="false">IF($A32="","",F32*I32)</f>
        <v/>
      </c>
      <c r="K32" s="17"/>
      <c r="L32" s="13" t="str">
        <f aca="false">IF($A32="","",F32+H32+J32+K32)</f>
        <v/>
      </c>
    </row>
    <row r="33" customFormat="false" ht="15" hidden="false" customHeight="false" outlineLevel="0" collapsed="false">
      <c r="A33" s="16"/>
      <c r="B33" s="16"/>
      <c r="C33" s="16"/>
      <c r="D33" s="16"/>
      <c r="E33" s="15"/>
      <c r="F33" s="13" t="str">
        <f aca="false">IF($A33="","",SUMIFS('RAB - Item'!$F$8:$F$157,'RAB - Item'!$A$8:$A$157,A33))</f>
        <v/>
      </c>
      <c r="G33" s="21"/>
      <c r="H33" s="13" t="str">
        <f aca="false">IF($A33="","",F33*G33)</f>
        <v/>
      </c>
      <c r="I33" s="21"/>
      <c r="J33" s="13" t="str">
        <f aca="false">IF($A33="","",F33*I33)</f>
        <v/>
      </c>
      <c r="K33" s="17"/>
      <c r="L33" s="13" t="str">
        <f aca="false">IF($A33="","",F33+H33+J33+K33)</f>
        <v/>
      </c>
    </row>
  </sheetData>
  <dataValidations count="1">
    <dataValidation allowBlank="true" errorStyle="stop" operator="between" showDropDown="false" showErrorMessage="false" showInputMessage="false" sqref="D4:D33" type="list">
      <formula1>Data!$F$2:$F$11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78D6"/>
    <pageSetUpPr fitToPage="false"/>
  </sheetPr>
  <dimension ref="A1:H1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0"/>
    <col collapsed="false" customWidth="true" hidden="false" outlineLevel="0" max="3" min="3" style="0" width="9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15"/>
    <col collapsed="false" customWidth="true" hidden="false" outlineLevel="0" max="7" min="7" style="0" width="12"/>
    <col collapsed="false" customWidth="true" hidden="false" outlineLevel="0" max="8" min="8" style="0" width="15"/>
  </cols>
  <sheetData>
    <row r="1" customFormat="false" ht="19.7" hidden="false" customHeight="false" outlineLevel="0" collapsed="false">
      <c r="A1" s="1" t="s">
        <v>252</v>
      </c>
    </row>
    <row r="2" customFormat="false" ht="15" hidden="false" customHeight="false" outlineLevel="0" collapsed="false">
      <c r="A2" s="2" t="s">
        <v>253</v>
      </c>
    </row>
    <row r="7" customFormat="false" ht="27.75" hidden="false" customHeight="true" outlineLevel="0" collapsed="false">
      <c r="A7" s="9" t="s">
        <v>243</v>
      </c>
      <c r="B7" s="10" t="s">
        <v>159</v>
      </c>
      <c r="C7" s="10" t="s">
        <v>147</v>
      </c>
      <c r="D7" s="10" t="s">
        <v>254</v>
      </c>
      <c r="E7" s="10" t="s">
        <v>150</v>
      </c>
      <c r="F7" s="10" t="s">
        <v>17</v>
      </c>
      <c r="G7" s="10" t="s">
        <v>255</v>
      </c>
      <c r="H7" s="10" t="s">
        <v>256</v>
      </c>
    </row>
    <row r="8" customFormat="false" ht="15" hidden="false" customHeight="false" outlineLevel="0" collapsed="false">
      <c r="A8" s="16"/>
      <c r="B8" s="16"/>
      <c r="C8" s="16"/>
      <c r="D8" s="29"/>
      <c r="E8" s="17"/>
      <c r="F8" s="13" t="str">
        <f aca="false">IF($A8="","",D8*E8)</f>
        <v/>
      </c>
      <c r="G8" s="16"/>
      <c r="H8" s="13" t="str">
        <f aca="false">IF($G8="","",IFERROR(INDEX(AHSP!$I$4:$I$43,MATCH(G8,AHSP!$B$4:$B$43,0)),""))</f>
        <v/>
      </c>
    </row>
    <row r="9" customFormat="false" ht="15" hidden="false" customHeight="false" outlineLevel="0" collapsed="false">
      <c r="A9" s="16"/>
      <c r="B9" s="16"/>
      <c r="C9" s="16"/>
      <c r="D9" s="29"/>
      <c r="E9" s="17"/>
      <c r="F9" s="13" t="str">
        <f aca="false">IF($A9="","",D9*E9)</f>
        <v/>
      </c>
      <c r="G9" s="16"/>
      <c r="H9" s="13" t="str">
        <f aca="false">IF($G9="","",IFERROR(INDEX(AHSP!$I$4:$I$43,MATCH(G9,AHSP!$B$4:$B$43,0)),""))</f>
        <v/>
      </c>
    </row>
    <row r="10" customFormat="false" ht="15" hidden="false" customHeight="false" outlineLevel="0" collapsed="false">
      <c r="A10" s="16"/>
      <c r="B10" s="16"/>
      <c r="C10" s="16"/>
      <c r="D10" s="29"/>
      <c r="E10" s="17"/>
      <c r="F10" s="13" t="str">
        <f aca="false">IF($A10="","",D10*E10)</f>
        <v/>
      </c>
      <c r="G10" s="16"/>
      <c r="H10" s="13" t="str">
        <f aca="false">IF($G10="","",IFERROR(INDEX(AHSP!$I$4:$I$43,MATCH(G10,AHSP!$B$4:$B$43,0)),""))</f>
        <v/>
      </c>
    </row>
    <row r="11" customFormat="false" ht="15" hidden="false" customHeight="false" outlineLevel="0" collapsed="false">
      <c r="A11" s="16"/>
      <c r="B11" s="16"/>
      <c r="C11" s="16"/>
      <c r="D11" s="29"/>
      <c r="E11" s="17"/>
      <c r="F11" s="13" t="str">
        <f aca="false">IF($A11="","",D11*E11)</f>
        <v/>
      </c>
      <c r="G11" s="16"/>
      <c r="H11" s="13" t="str">
        <f aca="false">IF($G11="","",IFERROR(INDEX(AHSP!$I$4:$I$43,MATCH(G11,AHSP!$B$4:$B$43,0)),""))</f>
        <v/>
      </c>
    </row>
    <row r="12" customFormat="false" ht="15" hidden="false" customHeight="false" outlineLevel="0" collapsed="false">
      <c r="A12" s="16"/>
      <c r="B12" s="16"/>
      <c r="C12" s="16"/>
      <c r="D12" s="29"/>
      <c r="E12" s="17"/>
      <c r="F12" s="13" t="str">
        <f aca="false">IF($A12="","",D12*E12)</f>
        <v/>
      </c>
      <c r="G12" s="16"/>
      <c r="H12" s="13" t="str">
        <f aca="false">IF($G12="","",IFERROR(INDEX(AHSP!$I$4:$I$43,MATCH(G12,AHSP!$B$4:$B$43,0)),""))</f>
        <v/>
      </c>
    </row>
    <row r="13" customFormat="false" ht="15" hidden="false" customHeight="false" outlineLevel="0" collapsed="false">
      <c r="A13" s="16"/>
      <c r="B13" s="16"/>
      <c r="C13" s="16"/>
      <c r="D13" s="29"/>
      <c r="E13" s="17"/>
      <c r="F13" s="13" t="str">
        <f aca="false">IF($A13="","",D13*E13)</f>
        <v/>
      </c>
      <c r="G13" s="16"/>
      <c r="H13" s="13" t="str">
        <f aca="false">IF($G13="","",IFERROR(INDEX(AHSP!$I$4:$I$43,MATCH(G13,AHSP!$B$4:$B$43,0)),""))</f>
        <v/>
      </c>
    </row>
    <row r="14" customFormat="false" ht="15" hidden="false" customHeight="false" outlineLevel="0" collapsed="false">
      <c r="A14" s="16"/>
      <c r="B14" s="16"/>
      <c r="C14" s="16"/>
      <c r="D14" s="29"/>
      <c r="E14" s="17"/>
      <c r="F14" s="13" t="str">
        <f aca="false">IF($A14="","",D14*E14)</f>
        <v/>
      </c>
      <c r="G14" s="16"/>
      <c r="H14" s="13" t="str">
        <f aca="false">IF($G14="","",IFERROR(INDEX(AHSP!$I$4:$I$43,MATCH(G14,AHSP!$B$4:$B$43,0)),""))</f>
        <v/>
      </c>
    </row>
    <row r="15" customFormat="false" ht="15" hidden="false" customHeight="false" outlineLevel="0" collapsed="false">
      <c r="A15" s="16"/>
      <c r="B15" s="16"/>
      <c r="C15" s="16"/>
      <c r="D15" s="29"/>
      <c r="E15" s="17"/>
      <c r="F15" s="13" t="str">
        <f aca="false">IF($A15="","",D15*E15)</f>
        <v/>
      </c>
      <c r="G15" s="16"/>
      <c r="H15" s="13" t="str">
        <f aca="false">IF($G15="","",IFERROR(INDEX(AHSP!$I$4:$I$43,MATCH(G15,AHSP!$B$4:$B$43,0)),""))</f>
        <v/>
      </c>
    </row>
    <row r="16" customFormat="false" ht="15" hidden="false" customHeight="false" outlineLevel="0" collapsed="false">
      <c r="A16" s="16"/>
      <c r="B16" s="16"/>
      <c r="C16" s="16"/>
      <c r="D16" s="29"/>
      <c r="E16" s="17"/>
      <c r="F16" s="13" t="str">
        <f aca="false">IF($A16="","",D16*E16)</f>
        <v/>
      </c>
      <c r="G16" s="16"/>
      <c r="H16" s="13" t="str">
        <f aca="false">IF($G16="","",IFERROR(INDEX(AHSP!$I$4:$I$43,MATCH(G16,AHSP!$B$4:$B$43,0)),""))</f>
        <v/>
      </c>
    </row>
    <row r="17" customFormat="false" ht="15" hidden="false" customHeight="false" outlineLevel="0" collapsed="false">
      <c r="A17" s="16"/>
      <c r="B17" s="16"/>
      <c r="C17" s="16"/>
      <c r="D17" s="29"/>
      <c r="E17" s="17"/>
      <c r="F17" s="13" t="str">
        <f aca="false">IF($A17="","",D17*E17)</f>
        <v/>
      </c>
      <c r="G17" s="16"/>
      <c r="H17" s="13" t="str">
        <f aca="false">IF($G17="","",IFERROR(INDEX(AHSP!$I$4:$I$43,MATCH(G17,AHSP!$B$4:$B$43,0)),""))</f>
        <v/>
      </c>
    </row>
    <row r="18" customFormat="false" ht="15" hidden="false" customHeight="false" outlineLevel="0" collapsed="false">
      <c r="A18" s="16"/>
      <c r="B18" s="16"/>
      <c r="C18" s="16"/>
      <c r="D18" s="29"/>
      <c r="E18" s="17"/>
      <c r="F18" s="13" t="str">
        <f aca="false">IF($A18="","",D18*E18)</f>
        <v/>
      </c>
      <c r="G18" s="16"/>
      <c r="H18" s="13" t="str">
        <f aca="false">IF($G18="","",IFERROR(INDEX(AHSP!$I$4:$I$43,MATCH(G18,AHSP!$B$4:$B$43,0)),""))</f>
        <v/>
      </c>
    </row>
    <row r="19" customFormat="false" ht="15" hidden="false" customHeight="false" outlineLevel="0" collapsed="false">
      <c r="A19" s="16"/>
      <c r="B19" s="16"/>
      <c r="C19" s="16"/>
      <c r="D19" s="29"/>
      <c r="E19" s="17"/>
      <c r="F19" s="13" t="str">
        <f aca="false">IF($A19="","",D19*E19)</f>
        <v/>
      </c>
      <c r="G19" s="16"/>
      <c r="H19" s="13" t="str">
        <f aca="false">IF($G19="","",IFERROR(INDEX(AHSP!$I$4:$I$43,MATCH(G19,AHSP!$B$4:$B$43,0)),""))</f>
        <v/>
      </c>
    </row>
    <row r="20" customFormat="false" ht="15" hidden="false" customHeight="false" outlineLevel="0" collapsed="false">
      <c r="A20" s="16"/>
      <c r="B20" s="16"/>
      <c r="C20" s="16"/>
      <c r="D20" s="29"/>
      <c r="E20" s="17"/>
      <c r="F20" s="13" t="str">
        <f aca="false">IF($A20="","",D20*E20)</f>
        <v/>
      </c>
      <c r="G20" s="16"/>
      <c r="H20" s="13" t="str">
        <f aca="false">IF($G20="","",IFERROR(INDEX(AHSP!$I$4:$I$43,MATCH(G20,AHSP!$B$4:$B$43,0)),""))</f>
        <v/>
      </c>
    </row>
    <row r="21" customFormat="false" ht="15" hidden="false" customHeight="false" outlineLevel="0" collapsed="false">
      <c r="A21" s="16"/>
      <c r="B21" s="16"/>
      <c r="C21" s="16"/>
      <c r="D21" s="29"/>
      <c r="E21" s="17"/>
      <c r="F21" s="13" t="str">
        <f aca="false">IF($A21="","",D21*E21)</f>
        <v/>
      </c>
      <c r="G21" s="16"/>
      <c r="H21" s="13" t="str">
        <f aca="false">IF($G21="","",IFERROR(INDEX(AHSP!$I$4:$I$43,MATCH(G21,AHSP!$B$4:$B$43,0)),""))</f>
        <v/>
      </c>
    </row>
    <row r="22" customFormat="false" ht="15" hidden="false" customHeight="false" outlineLevel="0" collapsed="false">
      <c r="A22" s="16"/>
      <c r="B22" s="16"/>
      <c r="C22" s="16"/>
      <c r="D22" s="29"/>
      <c r="E22" s="17"/>
      <c r="F22" s="13" t="str">
        <f aca="false">IF($A22="","",D22*E22)</f>
        <v/>
      </c>
      <c r="G22" s="16"/>
      <c r="H22" s="13" t="str">
        <f aca="false">IF($G22="","",IFERROR(INDEX(AHSP!$I$4:$I$43,MATCH(G22,AHSP!$B$4:$B$43,0)),""))</f>
        <v/>
      </c>
    </row>
    <row r="23" customFormat="false" ht="15" hidden="false" customHeight="false" outlineLevel="0" collapsed="false">
      <c r="A23" s="16"/>
      <c r="B23" s="16"/>
      <c r="C23" s="16"/>
      <c r="D23" s="29"/>
      <c r="E23" s="17"/>
      <c r="F23" s="13" t="str">
        <f aca="false">IF($A23="","",D23*E23)</f>
        <v/>
      </c>
      <c r="G23" s="16"/>
      <c r="H23" s="13" t="str">
        <f aca="false">IF($G23="","",IFERROR(INDEX(AHSP!$I$4:$I$43,MATCH(G23,AHSP!$B$4:$B$43,0)),""))</f>
        <v/>
      </c>
    </row>
    <row r="24" customFormat="false" ht="15" hidden="false" customHeight="false" outlineLevel="0" collapsed="false">
      <c r="A24" s="16"/>
      <c r="B24" s="16"/>
      <c r="C24" s="16"/>
      <c r="D24" s="29"/>
      <c r="E24" s="17"/>
      <c r="F24" s="13" t="str">
        <f aca="false">IF($A24="","",D24*E24)</f>
        <v/>
      </c>
      <c r="G24" s="16"/>
      <c r="H24" s="13" t="str">
        <f aca="false">IF($G24="","",IFERROR(INDEX(AHSP!$I$4:$I$43,MATCH(G24,AHSP!$B$4:$B$43,0)),""))</f>
        <v/>
      </c>
    </row>
    <row r="25" customFormat="false" ht="15" hidden="false" customHeight="false" outlineLevel="0" collapsed="false">
      <c r="A25" s="16"/>
      <c r="B25" s="16"/>
      <c r="C25" s="16"/>
      <c r="D25" s="29"/>
      <c r="E25" s="17"/>
      <c r="F25" s="13" t="str">
        <f aca="false">IF($A25="","",D25*E25)</f>
        <v/>
      </c>
      <c r="G25" s="16"/>
      <c r="H25" s="13" t="str">
        <f aca="false">IF($G25="","",IFERROR(INDEX(AHSP!$I$4:$I$43,MATCH(G25,AHSP!$B$4:$B$43,0)),""))</f>
        <v/>
      </c>
    </row>
    <row r="26" customFormat="false" ht="15" hidden="false" customHeight="false" outlineLevel="0" collapsed="false">
      <c r="A26" s="16"/>
      <c r="B26" s="16"/>
      <c r="C26" s="16"/>
      <c r="D26" s="29"/>
      <c r="E26" s="17"/>
      <c r="F26" s="13" t="str">
        <f aca="false">IF($A26="","",D26*E26)</f>
        <v/>
      </c>
      <c r="G26" s="16"/>
      <c r="H26" s="13" t="str">
        <f aca="false">IF($G26="","",IFERROR(INDEX(AHSP!$I$4:$I$43,MATCH(G26,AHSP!$B$4:$B$43,0)),""))</f>
        <v/>
      </c>
    </row>
    <row r="27" customFormat="false" ht="15" hidden="false" customHeight="false" outlineLevel="0" collapsed="false">
      <c r="A27" s="16"/>
      <c r="B27" s="16"/>
      <c r="C27" s="16"/>
      <c r="D27" s="29"/>
      <c r="E27" s="17"/>
      <c r="F27" s="13" t="str">
        <f aca="false">IF($A27="","",D27*E27)</f>
        <v/>
      </c>
      <c r="G27" s="16"/>
      <c r="H27" s="13" t="str">
        <f aca="false">IF($G27="","",IFERROR(INDEX(AHSP!$I$4:$I$43,MATCH(G27,AHSP!$B$4:$B$43,0)),""))</f>
        <v/>
      </c>
    </row>
    <row r="28" customFormat="false" ht="15" hidden="false" customHeight="false" outlineLevel="0" collapsed="false">
      <c r="A28" s="16"/>
      <c r="B28" s="16"/>
      <c r="C28" s="16"/>
      <c r="D28" s="29"/>
      <c r="E28" s="17"/>
      <c r="F28" s="13" t="str">
        <f aca="false">IF($A28="","",D28*E28)</f>
        <v/>
      </c>
      <c r="G28" s="16"/>
      <c r="H28" s="13" t="str">
        <f aca="false">IF($G28="","",IFERROR(INDEX(AHSP!$I$4:$I$43,MATCH(G28,AHSP!$B$4:$B$43,0)),""))</f>
        <v/>
      </c>
    </row>
    <row r="29" customFormat="false" ht="15" hidden="false" customHeight="false" outlineLevel="0" collapsed="false">
      <c r="A29" s="16"/>
      <c r="B29" s="16"/>
      <c r="C29" s="16"/>
      <c r="D29" s="29"/>
      <c r="E29" s="17"/>
      <c r="F29" s="13" t="str">
        <f aca="false">IF($A29="","",D29*E29)</f>
        <v/>
      </c>
      <c r="G29" s="16"/>
      <c r="H29" s="13" t="str">
        <f aca="false">IF($G29="","",IFERROR(INDEX(AHSP!$I$4:$I$43,MATCH(G29,AHSP!$B$4:$B$43,0)),""))</f>
        <v/>
      </c>
    </row>
    <row r="30" customFormat="false" ht="15" hidden="false" customHeight="false" outlineLevel="0" collapsed="false">
      <c r="A30" s="16"/>
      <c r="B30" s="16"/>
      <c r="C30" s="16"/>
      <c r="D30" s="29"/>
      <c r="E30" s="17"/>
      <c r="F30" s="13" t="str">
        <f aca="false">IF($A30="","",D30*E30)</f>
        <v/>
      </c>
      <c r="G30" s="16"/>
      <c r="H30" s="13" t="str">
        <f aca="false">IF($G30="","",IFERROR(INDEX(AHSP!$I$4:$I$43,MATCH(G30,AHSP!$B$4:$B$43,0)),""))</f>
        <v/>
      </c>
    </row>
    <row r="31" customFormat="false" ht="15" hidden="false" customHeight="false" outlineLevel="0" collapsed="false">
      <c r="A31" s="16"/>
      <c r="B31" s="16"/>
      <c r="C31" s="16"/>
      <c r="D31" s="29"/>
      <c r="E31" s="17"/>
      <c r="F31" s="13" t="str">
        <f aca="false">IF($A31="","",D31*E31)</f>
        <v/>
      </c>
      <c r="G31" s="16"/>
      <c r="H31" s="13" t="str">
        <f aca="false">IF($G31="","",IFERROR(INDEX(AHSP!$I$4:$I$43,MATCH(G31,AHSP!$B$4:$B$43,0)),""))</f>
        <v/>
      </c>
    </row>
    <row r="32" customFormat="false" ht="15" hidden="false" customHeight="false" outlineLevel="0" collapsed="false">
      <c r="A32" s="16"/>
      <c r="B32" s="16"/>
      <c r="C32" s="16"/>
      <c r="D32" s="29"/>
      <c r="E32" s="17"/>
      <c r="F32" s="13" t="str">
        <f aca="false">IF($A32="","",D32*E32)</f>
        <v/>
      </c>
      <c r="G32" s="16"/>
      <c r="H32" s="13" t="str">
        <f aca="false">IF($G32="","",IFERROR(INDEX(AHSP!$I$4:$I$43,MATCH(G32,AHSP!$B$4:$B$43,0)),""))</f>
        <v/>
      </c>
    </row>
    <row r="33" customFormat="false" ht="15" hidden="false" customHeight="false" outlineLevel="0" collapsed="false">
      <c r="A33" s="16"/>
      <c r="B33" s="16"/>
      <c r="C33" s="16"/>
      <c r="D33" s="29"/>
      <c r="E33" s="17"/>
      <c r="F33" s="13" t="str">
        <f aca="false">IF($A33="","",D33*E33)</f>
        <v/>
      </c>
      <c r="G33" s="16"/>
      <c r="H33" s="13" t="str">
        <f aca="false">IF($G33="","",IFERROR(INDEX(AHSP!$I$4:$I$43,MATCH(G33,AHSP!$B$4:$B$43,0)),""))</f>
        <v/>
      </c>
    </row>
    <row r="34" customFormat="false" ht="15" hidden="false" customHeight="false" outlineLevel="0" collapsed="false">
      <c r="A34" s="16"/>
      <c r="B34" s="16"/>
      <c r="C34" s="16"/>
      <c r="D34" s="29"/>
      <c r="E34" s="17"/>
      <c r="F34" s="13" t="str">
        <f aca="false">IF($A34="","",D34*E34)</f>
        <v/>
      </c>
      <c r="G34" s="16"/>
      <c r="H34" s="13" t="str">
        <f aca="false">IF($G34="","",IFERROR(INDEX(AHSP!$I$4:$I$43,MATCH(G34,AHSP!$B$4:$B$43,0)),""))</f>
        <v/>
      </c>
    </row>
    <row r="35" customFormat="false" ht="15" hidden="false" customHeight="false" outlineLevel="0" collapsed="false">
      <c r="A35" s="16"/>
      <c r="B35" s="16"/>
      <c r="C35" s="16"/>
      <c r="D35" s="29"/>
      <c r="E35" s="17"/>
      <c r="F35" s="13" t="str">
        <f aca="false">IF($A35="","",D35*E35)</f>
        <v/>
      </c>
      <c r="G35" s="16"/>
      <c r="H35" s="13" t="str">
        <f aca="false">IF($G35="","",IFERROR(INDEX(AHSP!$I$4:$I$43,MATCH(G35,AHSP!$B$4:$B$43,0)),""))</f>
        <v/>
      </c>
    </row>
    <row r="36" customFormat="false" ht="15" hidden="false" customHeight="false" outlineLevel="0" collapsed="false">
      <c r="A36" s="16"/>
      <c r="B36" s="16"/>
      <c r="C36" s="16"/>
      <c r="D36" s="29"/>
      <c r="E36" s="17"/>
      <c r="F36" s="13" t="str">
        <f aca="false">IF($A36="","",D36*E36)</f>
        <v/>
      </c>
      <c r="G36" s="16"/>
      <c r="H36" s="13" t="str">
        <f aca="false">IF($G36="","",IFERROR(INDEX(AHSP!$I$4:$I$43,MATCH(G36,AHSP!$B$4:$B$43,0)),""))</f>
        <v/>
      </c>
    </row>
    <row r="37" customFormat="false" ht="15" hidden="false" customHeight="false" outlineLevel="0" collapsed="false">
      <c r="A37" s="16"/>
      <c r="B37" s="16"/>
      <c r="C37" s="16"/>
      <c r="D37" s="29"/>
      <c r="E37" s="17"/>
      <c r="F37" s="13" t="str">
        <f aca="false">IF($A37="","",D37*E37)</f>
        <v/>
      </c>
      <c r="G37" s="16"/>
      <c r="H37" s="13" t="str">
        <f aca="false">IF($G37="","",IFERROR(INDEX(AHSP!$I$4:$I$43,MATCH(G37,AHSP!$B$4:$B$43,0)),""))</f>
        <v/>
      </c>
    </row>
    <row r="38" customFormat="false" ht="15" hidden="false" customHeight="false" outlineLevel="0" collapsed="false">
      <c r="A38" s="16"/>
      <c r="B38" s="16"/>
      <c r="C38" s="16"/>
      <c r="D38" s="29"/>
      <c r="E38" s="17"/>
      <c r="F38" s="13" t="str">
        <f aca="false">IF($A38="","",D38*E38)</f>
        <v/>
      </c>
      <c r="G38" s="16"/>
      <c r="H38" s="13" t="str">
        <f aca="false">IF($G38="","",IFERROR(INDEX(AHSP!$I$4:$I$43,MATCH(G38,AHSP!$B$4:$B$43,0)),""))</f>
        <v/>
      </c>
    </row>
    <row r="39" customFormat="false" ht="15" hidden="false" customHeight="false" outlineLevel="0" collapsed="false">
      <c r="A39" s="16"/>
      <c r="B39" s="16"/>
      <c r="C39" s="16"/>
      <c r="D39" s="29"/>
      <c r="E39" s="17"/>
      <c r="F39" s="13" t="str">
        <f aca="false">IF($A39="","",D39*E39)</f>
        <v/>
      </c>
      <c r="G39" s="16"/>
      <c r="H39" s="13" t="str">
        <f aca="false">IF($G39="","",IFERROR(INDEX(AHSP!$I$4:$I$43,MATCH(G39,AHSP!$B$4:$B$43,0)),""))</f>
        <v/>
      </c>
    </row>
    <row r="40" customFormat="false" ht="15" hidden="false" customHeight="false" outlineLevel="0" collapsed="false">
      <c r="A40" s="16"/>
      <c r="B40" s="16"/>
      <c r="C40" s="16"/>
      <c r="D40" s="29"/>
      <c r="E40" s="17"/>
      <c r="F40" s="13" t="str">
        <f aca="false">IF($A40="","",D40*E40)</f>
        <v/>
      </c>
      <c r="G40" s="16"/>
      <c r="H40" s="13" t="str">
        <f aca="false">IF($G40="","",IFERROR(INDEX(AHSP!$I$4:$I$43,MATCH(G40,AHSP!$B$4:$B$43,0)),""))</f>
        <v/>
      </c>
    </row>
    <row r="41" customFormat="false" ht="15" hidden="false" customHeight="false" outlineLevel="0" collapsed="false">
      <c r="A41" s="16"/>
      <c r="B41" s="16"/>
      <c r="C41" s="16"/>
      <c r="D41" s="29"/>
      <c r="E41" s="17"/>
      <c r="F41" s="13" t="str">
        <f aca="false">IF($A41="","",D41*E41)</f>
        <v/>
      </c>
      <c r="G41" s="16"/>
      <c r="H41" s="13" t="str">
        <f aca="false">IF($G41="","",IFERROR(INDEX(AHSP!$I$4:$I$43,MATCH(G41,AHSP!$B$4:$B$43,0)),""))</f>
        <v/>
      </c>
    </row>
    <row r="42" customFormat="false" ht="15" hidden="false" customHeight="false" outlineLevel="0" collapsed="false">
      <c r="A42" s="16"/>
      <c r="B42" s="16"/>
      <c r="C42" s="16"/>
      <c r="D42" s="29"/>
      <c r="E42" s="17"/>
      <c r="F42" s="13" t="str">
        <f aca="false">IF($A42="","",D42*E42)</f>
        <v/>
      </c>
      <c r="G42" s="16"/>
      <c r="H42" s="13" t="str">
        <f aca="false">IF($G42="","",IFERROR(INDEX(AHSP!$I$4:$I$43,MATCH(G42,AHSP!$B$4:$B$43,0)),""))</f>
        <v/>
      </c>
    </row>
    <row r="43" customFormat="false" ht="15" hidden="false" customHeight="false" outlineLevel="0" collapsed="false">
      <c r="A43" s="16"/>
      <c r="B43" s="16"/>
      <c r="C43" s="16"/>
      <c r="D43" s="29"/>
      <c r="E43" s="17"/>
      <c r="F43" s="13" t="str">
        <f aca="false">IF($A43="","",D43*E43)</f>
        <v/>
      </c>
      <c r="G43" s="16"/>
      <c r="H43" s="13" t="str">
        <f aca="false">IF($G43="","",IFERROR(INDEX(AHSP!$I$4:$I$43,MATCH(G43,AHSP!$B$4:$B$43,0)),""))</f>
        <v/>
      </c>
    </row>
    <row r="44" customFormat="false" ht="15" hidden="false" customHeight="false" outlineLevel="0" collapsed="false">
      <c r="A44" s="16"/>
      <c r="B44" s="16"/>
      <c r="C44" s="16"/>
      <c r="D44" s="29"/>
      <c r="E44" s="17"/>
      <c r="F44" s="13" t="str">
        <f aca="false">IF($A44="","",D44*E44)</f>
        <v/>
      </c>
      <c r="G44" s="16"/>
      <c r="H44" s="13" t="str">
        <f aca="false">IF($G44="","",IFERROR(INDEX(AHSP!$I$4:$I$43,MATCH(G44,AHSP!$B$4:$B$43,0)),""))</f>
        <v/>
      </c>
    </row>
    <row r="45" customFormat="false" ht="15" hidden="false" customHeight="false" outlineLevel="0" collapsed="false">
      <c r="A45" s="16"/>
      <c r="B45" s="16"/>
      <c r="C45" s="16"/>
      <c r="D45" s="29"/>
      <c r="E45" s="17"/>
      <c r="F45" s="13" t="str">
        <f aca="false">IF($A45="","",D45*E45)</f>
        <v/>
      </c>
      <c r="G45" s="16"/>
      <c r="H45" s="13" t="str">
        <f aca="false">IF($G45="","",IFERROR(INDEX(AHSP!$I$4:$I$43,MATCH(G45,AHSP!$B$4:$B$43,0)),""))</f>
        <v/>
      </c>
    </row>
    <row r="46" customFormat="false" ht="15" hidden="false" customHeight="false" outlineLevel="0" collapsed="false">
      <c r="A46" s="16"/>
      <c r="B46" s="16"/>
      <c r="C46" s="16"/>
      <c r="D46" s="29"/>
      <c r="E46" s="17"/>
      <c r="F46" s="13" t="str">
        <f aca="false">IF($A46="","",D46*E46)</f>
        <v/>
      </c>
      <c r="G46" s="16"/>
      <c r="H46" s="13" t="str">
        <f aca="false">IF($G46="","",IFERROR(INDEX(AHSP!$I$4:$I$43,MATCH(G46,AHSP!$B$4:$B$43,0)),""))</f>
        <v/>
      </c>
    </row>
    <row r="47" customFormat="false" ht="15" hidden="false" customHeight="false" outlineLevel="0" collapsed="false">
      <c r="A47" s="16"/>
      <c r="B47" s="16"/>
      <c r="C47" s="16"/>
      <c r="D47" s="29"/>
      <c r="E47" s="17"/>
      <c r="F47" s="13" t="str">
        <f aca="false">IF($A47="","",D47*E47)</f>
        <v/>
      </c>
      <c r="G47" s="16"/>
      <c r="H47" s="13" t="str">
        <f aca="false">IF($G47="","",IFERROR(INDEX(AHSP!$I$4:$I$43,MATCH(G47,AHSP!$B$4:$B$43,0)),""))</f>
        <v/>
      </c>
    </row>
    <row r="48" customFormat="false" ht="15" hidden="false" customHeight="false" outlineLevel="0" collapsed="false">
      <c r="A48" s="16"/>
      <c r="B48" s="16"/>
      <c r="C48" s="16"/>
      <c r="D48" s="29"/>
      <c r="E48" s="17"/>
      <c r="F48" s="13" t="str">
        <f aca="false">IF($A48="","",D48*E48)</f>
        <v/>
      </c>
      <c r="G48" s="16"/>
      <c r="H48" s="13" t="str">
        <f aca="false">IF($G48="","",IFERROR(INDEX(AHSP!$I$4:$I$43,MATCH(G48,AHSP!$B$4:$B$43,0)),""))</f>
        <v/>
      </c>
    </row>
    <row r="49" customFormat="false" ht="15" hidden="false" customHeight="false" outlineLevel="0" collapsed="false">
      <c r="A49" s="16"/>
      <c r="B49" s="16"/>
      <c r="C49" s="16"/>
      <c r="D49" s="29"/>
      <c r="E49" s="17"/>
      <c r="F49" s="13" t="str">
        <f aca="false">IF($A49="","",D49*E49)</f>
        <v/>
      </c>
      <c r="G49" s="16"/>
      <c r="H49" s="13" t="str">
        <f aca="false">IF($G49="","",IFERROR(INDEX(AHSP!$I$4:$I$43,MATCH(G49,AHSP!$B$4:$B$43,0)),""))</f>
        <v/>
      </c>
    </row>
    <row r="50" customFormat="false" ht="15" hidden="false" customHeight="false" outlineLevel="0" collapsed="false">
      <c r="A50" s="16"/>
      <c r="B50" s="16"/>
      <c r="C50" s="16"/>
      <c r="D50" s="29"/>
      <c r="E50" s="17"/>
      <c r="F50" s="13" t="str">
        <f aca="false">IF($A50="","",D50*E50)</f>
        <v/>
      </c>
      <c r="G50" s="16"/>
      <c r="H50" s="13" t="str">
        <f aca="false">IF($G50="","",IFERROR(INDEX(AHSP!$I$4:$I$43,MATCH(G50,AHSP!$B$4:$B$43,0)),""))</f>
        <v/>
      </c>
    </row>
    <row r="51" customFormat="false" ht="15" hidden="false" customHeight="false" outlineLevel="0" collapsed="false">
      <c r="A51" s="16"/>
      <c r="B51" s="16"/>
      <c r="C51" s="16"/>
      <c r="D51" s="29"/>
      <c r="E51" s="17"/>
      <c r="F51" s="13" t="str">
        <f aca="false">IF($A51="","",D51*E51)</f>
        <v/>
      </c>
      <c r="G51" s="16"/>
      <c r="H51" s="13" t="str">
        <f aca="false">IF($G51="","",IFERROR(INDEX(AHSP!$I$4:$I$43,MATCH(G51,AHSP!$B$4:$B$43,0)),""))</f>
        <v/>
      </c>
    </row>
    <row r="52" customFormat="false" ht="15" hidden="false" customHeight="false" outlineLevel="0" collapsed="false">
      <c r="A52" s="16"/>
      <c r="B52" s="16"/>
      <c r="C52" s="16"/>
      <c r="D52" s="29"/>
      <c r="E52" s="17"/>
      <c r="F52" s="13" t="str">
        <f aca="false">IF($A52="","",D52*E52)</f>
        <v/>
      </c>
      <c r="G52" s="16"/>
      <c r="H52" s="13" t="str">
        <f aca="false">IF($G52="","",IFERROR(INDEX(AHSP!$I$4:$I$43,MATCH(G52,AHSP!$B$4:$B$43,0)),""))</f>
        <v/>
      </c>
    </row>
    <row r="53" customFormat="false" ht="15" hidden="false" customHeight="false" outlineLevel="0" collapsed="false">
      <c r="A53" s="16"/>
      <c r="B53" s="16"/>
      <c r="C53" s="16"/>
      <c r="D53" s="29"/>
      <c r="E53" s="17"/>
      <c r="F53" s="13" t="str">
        <f aca="false">IF($A53="","",D53*E53)</f>
        <v/>
      </c>
      <c r="G53" s="16"/>
      <c r="H53" s="13" t="str">
        <f aca="false">IF($G53="","",IFERROR(INDEX(AHSP!$I$4:$I$43,MATCH(G53,AHSP!$B$4:$B$43,0)),""))</f>
        <v/>
      </c>
    </row>
    <row r="54" customFormat="false" ht="15" hidden="false" customHeight="false" outlineLevel="0" collapsed="false">
      <c r="A54" s="16"/>
      <c r="B54" s="16"/>
      <c r="C54" s="16"/>
      <c r="D54" s="29"/>
      <c r="E54" s="17"/>
      <c r="F54" s="13" t="str">
        <f aca="false">IF($A54="","",D54*E54)</f>
        <v/>
      </c>
      <c r="G54" s="16"/>
      <c r="H54" s="13" t="str">
        <f aca="false">IF($G54="","",IFERROR(INDEX(AHSP!$I$4:$I$43,MATCH(G54,AHSP!$B$4:$B$43,0)),""))</f>
        <v/>
      </c>
    </row>
    <row r="55" customFormat="false" ht="15" hidden="false" customHeight="false" outlineLevel="0" collapsed="false">
      <c r="A55" s="16"/>
      <c r="B55" s="16"/>
      <c r="C55" s="16"/>
      <c r="D55" s="29"/>
      <c r="E55" s="17"/>
      <c r="F55" s="13" t="str">
        <f aca="false">IF($A55="","",D55*E55)</f>
        <v/>
      </c>
      <c r="G55" s="16"/>
      <c r="H55" s="13" t="str">
        <f aca="false">IF($G55="","",IFERROR(INDEX(AHSP!$I$4:$I$43,MATCH(G55,AHSP!$B$4:$B$43,0)),""))</f>
        <v/>
      </c>
    </row>
    <row r="56" customFormat="false" ht="15" hidden="false" customHeight="false" outlineLevel="0" collapsed="false">
      <c r="A56" s="16"/>
      <c r="B56" s="16"/>
      <c r="C56" s="16"/>
      <c r="D56" s="29"/>
      <c r="E56" s="17"/>
      <c r="F56" s="13" t="str">
        <f aca="false">IF($A56="","",D56*E56)</f>
        <v/>
      </c>
      <c r="G56" s="16"/>
      <c r="H56" s="13" t="str">
        <f aca="false">IF($G56="","",IFERROR(INDEX(AHSP!$I$4:$I$43,MATCH(G56,AHSP!$B$4:$B$43,0)),""))</f>
        <v/>
      </c>
    </row>
    <row r="57" customFormat="false" ht="15" hidden="false" customHeight="false" outlineLevel="0" collapsed="false">
      <c r="A57" s="16"/>
      <c r="B57" s="16"/>
      <c r="C57" s="16"/>
      <c r="D57" s="29"/>
      <c r="E57" s="17"/>
      <c r="F57" s="13" t="str">
        <f aca="false">IF($A57="","",D57*E57)</f>
        <v/>
      </c>
      <c r="G57" s="16"/>
      <c r="H57" s="13" t="str">
        <f aca="false">IF($G57="","",IFERROR(INDEX(AHSP!$I$4:$I$43,MATCH(G57,AHSP!$B$4:$B$43,0)),""))</f>
        <v/>
      </c>
    </row>
    <row r="58" customFormat="false" ht="15" hidden="false" customHeight="false" outlineLevel="0" collapsed="false">
      <c r="A58" s="16"/>
      <c r="B58" s="16"/>
      <c r="C58" s="16"/>
      <c r="D58" s="29"/>
      <c r="E58" s="17"/>
      <c r="F58" s="13" t="str">
        <f aca="false">IF($A58="","",D58*E58)</f>
        <v/>
      </c>
      <c r="G58" s="16"/>
      <c r="H58" s="13" t="str">
        <f aca="false">IF($G58="","",IFERROR(INDEX(AHSP!$I$4:$I$43,MATCH(G58,AHSP!$B$4:$B$43,0)),""))</f>
        <v/>
      </c>
    </row>
    <row r="59" customFormat="false" ht="15" hidden="false" customHeight="false" outlineLevel="0" collapsed="false">
      <c r="A59" s="16"/>
      <c r="B59" s="16"/>
      <c r="C59" s="16"/>
      <c r="D59" s="29"/>
      <c r="E59" s="17"/>
      <c r="F59" s="13" t="str">
        <f aca="false">IF($A59="","",D59*E59)</f>
        <v/>
      </c>
      <c r="G59" s="16"/>
      <c r="H59" s="13" t="str">
        <f aca="false">IF($G59="","",IFERROR(INDEX(AHSP!$I$4:$I$43,MATCH(G59,AHSP!$B$4:$B$43,0)),""))</f>
        <v/>
      </c>
    </row>
    <row r="60" customFormat="false" ht="15" hidden="false" customHeight="false" outlineLevel="0" collapsed="false">
      <c r="A60" s="16"/>
      <c r="B60" s="16"/>
      <c r="C60" s="16"/>
      <c r="D60" s="29"/>
      <c r="E60" s="17"/>
      <c r="F60" s="13" t="str">
        <f aca="false">IF($A60="","",D60*E60)</f>
        <v/>
      </c>
      <c r="G60" s="16"/>
      <c r="H60" s="13" t="str">
        <f aca="false">IF($G60="","",IFERROR(INDEX(AHSP!$I$4:$I$43,MATCH(G60,AHSP!$B$4:$B$43,0)),""))</f>
        <v/>
      </c>
    </row>
    <row r="61" customFormat="false" ht="15" hidden="false" customHeight="false" outlineLevel="0" collapsed="false">
      <c r="A61" s="16"/>
      <c r="B61" s="16"/>
      <c r="C61" s="16"/>
      <c r="D61" s="29"/>
      <c r="E61" s="17"/>
      <c r="F61" s="13" t="str">
        <f aca="false">IF($A61="","",D61*E61)</f>
        <v/>
      </c>
      <c r="G61" s="16"/>
      <c r="H61" s="13" t="str">
        <f aca="false">IF($G61="","",IFERROR(INDEX(AHSP!$I$4:$I$43,MATCH(G61,AHSP!$B$4:$B$43,0)),""))</f>
        <v/>
      </c>
    </row>
    <row r="62" customFormat="false" ht="15" hidden="false" customHeight="false" outlineLevel="0" collapsed="false">
      <c r="A62" s="16"/>
      <c r="B62" s="16"/>
      <c r="C62" s="16"/>
      <c r="D62" s="29"/>
      <c r="E62" s="17"/>
      <c r="F62" s="13" t="str">
        <f aca="false">IF($A62="","",D62*E62)</f>
        <v/>
      </c>
      <c r="G62" s="16"/>
      <c r="H62" s="13" t="str">
        <f aca="false">IF($G62="","",IFERROR(INDEX(AHSP!$I$4:$I$43,MATCH(G62,AHSP!$B$4:$B$43,0)),""))</f>
        <v/>
      </c>
    </row>
    <row r="63" customFormat="false" ht="15" hidden="false" customHeight="false" outlineLevel="0" collapsed="false">
      <c r="A63" s="16"/>
      <c r="B63" s="16"/>
      <c r="C63" s="16"/>
      <c r="D63" s="29"/>
      <c r="E63" s="17"/>
      <c r="F63" s="13" t="str">
        <f aca="false">IF($A63="","",D63*E63)</f>
        <v/>
      </c>
      <c r="G63" s="16"/>
      <c r="H63" s="13" t="str">
        <f aca="false">IF($G63="","",IFERROR(INDEX(AHSP!$I$4:$I$43,MATCH(G63,AHSP!$B$4:$B$43,0)),""))</f>
        <v/>
      </c>
    </row>
    <row r="64" customFormat="false" ht="15" hidden="false" customHeight="false" outlineLevel="0" collapsed="false">
      <c r="A64" s="16"/>
      <c r="B64" s="16"/>
      <c r="C64" s="16"/>
      <c r="D64" s="29"/>
      <c r="E64" s="17"/>
      <c r="F64" s="13" t="str">
        <f aca="false">IF($A64="","",D64*E64)</f>
        <v/>
      </c>
      <c r="G64" s="16"/>
      <c r="H64" s="13" t="str">
        <f aca="false">IF($G64="","",IFERROR(INDEX(AHSP!$I$4:$I$43,MATCH(G64,AHSP!$B$4:$B$43,0)),""))</f>
        <v/>
      </c>
    </row>
    <row r="65" customFormat="false" ht="15" hidden="false" customHeight="false" outlineLevel="0" collapsed="false">
      <c r="A65" s="16"/>
      <c r="B65" s="16"/>
      <c r="C65" s="16"/>
      <c r="D65" s="29"/>
      <c r="E65" s="17"/>
      <c r="F65" s="13" t="str">
        <f aca="false">IF($A65="","",D65*E65)</f>
        <v/>
      </c>
      <c r="G65" s="16"/>
      <c r="H65" s="13" t="str">
        <f aca="false">IF($G65="","",IFERROR(INDEX(AHSP!$I$4:$I$43,MATCH(G65,AHSP!$B$4:$B$43,0)),""))</f>
        <v/>
      </c>
    </row>
    <row r="66" customFormat="false" ht="15" hidden="false" customHeight="false" outlineLevel="0" collapsed="false">
      <c r="A66" s="16"/>
      <c r="B66" s="16"/>
      <c r="C66" s="16"/>
      <c r="D66" s="29"/>
      <c r="E66" s="17"/>
      <c r="F66" s="13" t="str">
        <f aca="false">IF($A66="","",D66*E66)</f>
        <v/>
      </c>
      <c r="G66" s="16"/>
      <c r="H66" s="13" t="str">
        <f aca="false">IF($G66="","",IFERROR(INDEX(AHSP!$I$4:$I$43,MATCH(G66,AHSP!$B$4:$B$43,0)),""))</f>
        <v/>
      </c>
    </row>
    <row r="67" customFormat="false" ht="15" hidden="false" customHeight="false" outlineLevel="0" collapsed="false">
      <c r="A67" s="16"/>
      <c r="B67" s="16"/>
      <c r="C67" s="16"/>
      <c r="D67" s="29"/>
      <c r="E67" s="17"/>
      <c r="F67" s="13" t="str">
        <f aca="false">IF($A67="","",D67*E67)</f>
        <v/>
      </c>
      <c r="G67" s="16"/>
      <c r="H67" s="13" t="str">
        <f aca="false">IF($G67="","",IFERROR(INDEX(AHSP!$I$4:$I$43,MATCH(G67,AHSP!$B$4:$B$43,0)),""))</f>
        <v/>
      </c>
    </row>
    <row r="68" customFormat="false" ht="15" hidden="false" customHeight="false" outlineLevel="0" collapsed="false">
      <c r="A68" s="16"/>
      <c r="B68" s="16"/>
      <c r="C68" s="16"/>
      <c r="D68" s="29"/>
      <c r="E68" s="17"/>
      <c r="F68" s="13" t="str">
        <f aca="false">IF($A68="","",D68*E68)</f>
        <v/>
      </c>
      <c r="G68" s="16"/>
      <c r="H68" s="13" t="str">
        <f aca="false">IF($G68="","",IFERROR(INDEX(AHSP!$I$4:$I$43,MATCH(G68,AHSP!$B$4:$B$43,0)),""))</f>
        <v/>
      </c>
    </row>
    <row r="69" customFormat="false" ht="15" hidden="false" customHeight="false" outlineLevel="0" collapsed="false">
      <c r="A69" s="16"/>
      <c r="B69" s="16"/>
      <c r="C69" s="16"/>
      <c r="D69" s="29"/>
      <c r="E69" s="17"/>
      <c r="F69" s="13" t="str">
        <f aca="false">IF($A69="","",D69*E69)</f>
        <v/>
      </c>
      <c r="G69" s="16"/>
      <c r="H69" s="13" t="str">
        <f aca="false">IF($G69="","",IFERROR(INDEX(AHSP!$I$4:$I$43,MATCH(G69,AHSP!$B$4:$B$43,0)),""))</f>
        <v/>
      </c>
    </row>
    <row r="70" customFormat="false" ht="15" hidden="false" customHeight="false" outlineLevel="0" collapsed="false">
      <c r="A70" s="16"/>
      <c r="B70" s="16"/>
      <c r="C70" s="16"/>
      <c r="D70" s="29"/>
      <c r="E70" s="17"/>
      <c r="F70" s="13" t="str">
        <f aca="false">IF($A70="","",D70*E70)</f>
        <v/>
      </c>
      <c r="G70" s="16"/>
      <c r="H70" s="13" t="str">
        <f aca="false">IF($G70="","",IFERROR(INDEX(AHSP!$I$4:$I$43,MATCH(G70,AHSP!$B$4:$B$43,0)),""))</f>
        <v/>
      </c>
    </row>
    <row r="71" customFormat="false" ht="15" hidden="false" customHeight="false" outlineLevel="0" collapsed="false">
      <c r="A71" s="16"/>
      <c r="B71" s="16"/>
      <c r="C71" s="16"/>
      <c r="D71" s="29"/>
      <c r="E71" s="17"/>
      <c r="F71" s="13" t="str">
        <f aca="false">IF($A71="","",D71*E71)</f>
        <v/>
      </c>
      <c r="G71" s="16"/>
      <c r="H71" s="13" t="str">
        <f aca="false">IF($G71="","",IFERROR(INDEX(AHSP!$I$4:$I$43,MATCH(G71,AHSP!$B$4:$B$43,0)),""))</f>
        <v/>
      </c>
    </row>
    <row r="72" customFormat="false" ht="15" hidden="false" customHeight="false" outlineLevel="0" collapsed="false">
      <c r="A72" s="16"/>
      <c r="B72" s="16"/>
      <c r="C72" s="16"/>
      <c r="D72" s="29"/>
      <c r="E72" s="17"/>
      <c r="F72" s="13" t="str">
        <f aca="false">IF($A72="","",D72*E72)</f>
        <v/>
      </c>
      <c r="G72" s="16"/>
      <c r="H72" s="13" t="str">
        <f aca="false">IF($G72="","",IFERROR(INDEX(AHSP!$I$4:$I$43,MATCH(G72,AHSP!$B$4:$B$43,0)),""))</f>
        <v/>
      </c>
    </row>
    <row r="73" customFormat="false" ht="15" hidden="false" customHeight="false" outlineLevel="0" collapsed="false">
      <c r="A73" s="16"/>
      <c r="B73" s="16"/>
      <c r="C73" s="16"/>
      <c r="D73" s="29"/>
      <c r="E73" s="17"/>
      <c r="F73" s="13" t="str">
        <f aca="false">IF($A73="","",D73*E73)</f>
        <v/>
      </c>
      <c r="G73" s="16"/>
      <c r="H73" s="13" t="str">
        <f aca="false">IF($G73="","",IFERROR(INDEX(AHSP!$I$4:$I$43,MATCH(G73,AHSP!$B$4:$B$43,0)),""))</f>
        <v/>
      </c>
    </row>
    <row r="74" customFormat="false" ht="15" hidden="false" customHeight="false" outlineLevel="0" collapsed="false">
      <c r="A74" s="16"/>
      <c r="B74" s="16"/>
      <c r="C74" s="16"/>
      <c r="D74" s="29"/>
      <c r="E74" s="17"/>
      <c r="F74" s="13" t="str">
        <f aca="false">IF($A74="","",D74*E74)</f>
        <v/>
      </c>
      <c r="G74" s="16"/>
      <c r="H74" s="13" t="str">
        <f aca="false">IF($G74="","",IFERROR(INDEX(AHSP!$I$4:$I$43,MATCH(G74,AHSP!$B$4:$B$43,0)),""))</f>
        <v/>
      </c>
    </row>
    <row r="75" customFormat="false" ht="15" hidden="false" customHeight="false" outlineLevel="0" collapsed="false">
      <c r="A75" s="16"/>
      <c r="B75" s="16"/>
      <c r="C75" s="16"/>
      <c r="D75" s="29"/>
      <c r="E75" s="17"/>
      <c r="F75" s="13" t="str">
        <f aca="false">IF($A75="","",D75*E75)</f>
        <v/>
      </c>
      <c r="G75" s="16"/>
      <c r="H75" s="13" t="str">
        <f aca="false">IF($G75="","",IFERROR(INDEX(AHSP!$I$4:$I$43,MATCH(G75,AHSP!$B$4:$B$43,0)),""))</f>
        <v/>
      </c>
    </row>
    <row r="76" customFormat="false" ht="15" hidden="false" customHeight="false" outlineLevel="0" collapsed="false">
      <c r="A76" s="16"/>
      <c r="B76" s="16"/>
      <c r="C76" s="16"/>
      <c r="D76" s="29"/>
      <c r="E76" s="17"/>
      <c r="F76" s="13" t="str">
        <f aca="false">IF($A76="","",D76*E76)</f>
        <v/>
      </c>
      <c r="G76" s="16"/>
      <c r="H76" s="13" t="str">
        <f aca="false">IF($G76="","",IFERROR(INDEX(AHSP!$I$4:$I$43,MATCH(G76,AHSP!$B$4:$B$43,0)),""))</f>
        <v/>
      </c>
    </row>
    <row r="77" customFormat="false" ht="15" hidden="false" customHeight="false" outlineLevel="0" collapsed="false">
      <c r="A77" s="16"/>
      <c r="B77" s="16"/>
      <c r="C77" s="16"/>
      <c r="D77" s="29"/>
      <c r="E77" s="17"/>
      <c r="F77" s="13" t="str">
        <f aca="false">IF($A77="","",D77*E77)</f>
        <v/>
      </c>
      <c r="G77" s="16"/>
      <c r="H77" s="13" t="str">
        <f aca="false">IF($G77="","",IFERROR(INDEX(AHSP!$I$4:$I$43,MATCH(G77,AHSP!$B$4:$B$43,0)),""))</f>
        <v/>
      </c>
    </row>
    <row r="78" customFormat="false" ht="15" hidden="false" customHeight="false" outlineLevel="0" collapsed="false">
      <c r="A78" s="16"/>
      <c r="B78" s="16"/>
      <c r="C78" s="16"/>
      <c r="D78" s="29"/>
      <c r="E78" s="17"/>
      <c r="F78" s="13" t="str">
        <f aca="false">IF($A78="","",D78*E78)</f>
        <v/>
      </c>
      <c r="G78" s="16"/>
      <c r="H78" s="13" t="str">
        <f aca="false">IF($G78="","",IFERROR(INDEX(AHSP!$I$4:$I$43,MATCH(G78,AHSP!$B$4:$B$43,0)),""))</f>
        <v/>
      </c>
    </row>
    <row r="79" customFormat="false" ht="15" hidden="false" customHeight="false" outlineLevel="0" collapsed="false">
      <c r="A79" s="16"/>
      <c r="B79" s="16"/>
      <c r="C79" s="16"/>
      <c r="D79" s="29"/>
      <c r="E79" s="17"/>
      <c r="F79" s="13" t="str">
        <f aca="false">IF($A79="","",D79*E79)</f>
        <v/>
      </c>
      <c r="G79" s="16"/>
      <c r="H79" s="13" t="str">
        <f aca="false">IF($G79="","",IFERROR(INDEX(AHSP!$I$4:$I$43,MATCH(G79,AHSP!$B$4:$B$43,0)),""))</f>
        <v/>
      </c>
    </row>
    <row r="80" customFormat="false" ht="15" hidden="false" customHeight="false" outlineLevel="0" collapsed="false">
      <c r="A80" s="16"/>
      <c r="B80" s="16"/>
      <c r="C80" s="16"/>
      <c r="D80" s="29"/>
      <c r="E80" s="17"/>
      <c r="F80" s="13" t="str">
        <f aca="false">IF($A80="","",D80*E80)</f>
        <v/>
      </c>
      <c r="G80" s="16"/>
      <c r="H80" s="13" t="str">
        <f aca="false">IF($G80="","",IFERROR(INDEX(AHSP!$I$4:$I$43,MATCH(G80,AHSP!$B$4:$B$43,0)),""))</f>
        <v/>
      </c>
    </row>
    <row r="81" customFormat="false" ht="15" hidden="false" customHeight="false" outlineLevel="0" collapsed="false">
      <c r="A81" s="16"/>
      <c r="B81" s="16"/>
      <c r="C81" s="16"/>
      <c r="D81" s="29"/>
      <c r="E81" s="17"/>
      <c r="F81" s="13" t="str">
        <f aca="false">IF($A81="","",D81*E81)</f>
        <v/>
      </c>
      <c r="G81" s="16"/>
      <c r="H81" s="13" t="str">
        <f aca="false">IF($G81="","",IFERROR(INDEX(AHSP!$I$4:$I$43,MATCH(G81,AHSP!$B$4:$B$43,0)),""))</f>
        <v/>
      </c>
    </row>
    <row r="82" customFormat="false" ht="15" hidden="false" customHeight="false" outlineLevel="0" collapsed="false">
      <c r="A82" s="16"/>
      <c r="B82" s="16"/>
      <c r="C82" s="16"/>
      <c r="D82" s="29"/>
      <c r="E82" s="17"/>
      <c r="F82" s="13" t="str">
        <f aca="false">IF($A82="","",D82*E82)</f>
        <v/>
      </c>
      <c r="G82" s="16"/>
      <c r="H82" s="13" t="str">
        <f aca="false">IF($G82="","",IFERROR(INDEX(AHSP!$I$4:$I$43,MATCH(G82,AHSP!$B$4:$B$43,0)),""))</f>
        <v/>
      </c>
    </row>
    <row r="83" customFormat="false" ht="15" hidden="false" customHeight="false" outlineLevel="0" collapsed="false">
      <c r="A83" s="16"/>
      <c r="B83" s="16"/>
      <c r="C83" s="16"/>
      <c r="D83" s="29"/>
      <c r="E83" s="17"/>
      <c r="F83" s="13" t="str">
        <f aca="false">IF($A83="","",D83*E83)</f>
        <v/>
      </c>
      <c r="G83" s="16"/>
      <c r="H83" s="13" t="str">
        <f aca="false">IF($G83="","",IFERROR(INDEX(AHSP!$I$4:$I$43,MATCH(G83,AHSP!$B$4:$B$43,0)),""))</f>
        <v/>
      </c>
    </row>
    <row r="84" customFormat="false" ht="15" hidden="false" customHeight="false" outlineLevel="0" collapsed="false">
      <c r="A84" s="16"/>
      <c r="B84" s="16"/>
      <c r="C84" s="16"/>
      <c r="D84" s="29"/>
      <c r="E84" s="17"/>
      <c r="F84" s="13" t="str">
        <f aca="false">IF($A84="","",D84*E84)</f>
        <v/>
      </c>
      <c r="G84" s="16"/>
      <c r="H84" s="13" t="str">
        <f aca="false">IF($G84="","",IFERROR(INDEX(AHSP!$I$4:$I$43,MATCH(G84,AHSP!$B$4:$B$43,0)),""))</f>
        <v/>
      </c>
    </row>
    <row r="85" customFormat="false" ht="15" hidden="false" customHeight="false" outlineLevel="0" collapsed="false">
      <c r="A85" s="16"/>
      <c r="B85" s="16"/>
      <c r="C85" s="16"/>
      <c r="D85" s="29"/>
      <c r="E85" s="17"/>
      <c r="F85" s="13" t="str">
        <f aca="false">IF($A85="","",D85*E85)</f>
        <v/>
      </c>
      <c r="G85" s="16"/>
      <c r="H85" s="13" t="str">
        <f aca="false">IF($G85="","",IFERROR(INDEX(AHSP!$I$4:$I$43,MATCH(G85,AHSP!$B$4:$B$43,0)),""))</f>
        <v/>
      </c>
    </row>
    <row r="86" customFormat="false" ht="15" hidden="false" customHeight="false" outlineLevel="0" collapsed="false">
      <c r="A86" s="16"/>
      <c r="B86" s="16"/>
      <c r="C86" s="16"/>
      <c r="D86" s="29"/>
      <c r="E86" s="17"/>
      <c r="F86" s="13" t="str">
        <f aca="false">IF($A86="","",D86*E86)</f>
        <v/>
      </c>
      <c r="G86" s="16"/>
      <c r="H86" s="13" t="str">
        <f aca="false">IF($G86="","",IFERROR(INDEX(AHSP!$I$4:$I$43,MATCH(G86,AHSP!$B$4:$B$43,0)),""))</f>
        <v/>
      </c>
    </row>
    <row r="87" customFormat="false" ht="15" hidden="false" customHeight="false" outlineLevel="0" collapsed="false">
      <c r="A87" s="16"/>
      <c r="B87" s="16"/>
      <c r="C87" s="16"/>
      <c r="D87" s="29"/>
      <c r="E87" s="17"/>
      <c r="F87" s="13" t="str">
        <f aca="false">IF($A87="","",D87*E87)</f>
        <v/>
      </c>
      <c r="G87" s="16"/>
      <c r="H87" s="13" t="str">
        <f aca="false">IF($G87="","",IFERROR(INDEX(AHSP!$I$4:$I$43,MATCH(G87,AHSP!$B$4:$B$43,0)),""))</f>
        <v/>
      </c>
    </row>
    <row r="88" customFormat="false" ht="15" hidden="false" customHeight="false" outlineLevel="0" collapsed="false">
      <c r="A88" s="16"/>
      <c r="B88" s="16"/>
      <c r="C88" s="16"/>
      <c r="D88" s="29"/>
      <c r="E88" s="17"/>
      <c r="F88" s="13" t="str">
        <f aca="false">IF($A88="","",D88*E88)</f>
        <v/>
      </c>
      <c r="G88" s="16"/>
      <c r="H88" s="13" t="str">
        <f aca="false">IF($G88="","",IFERROR(INDEX(AHSP!$I$4:$I$43,MATCH(G88,AHSP!$B$4:$B$43,0)),""))</f>
        <v/>
      </c>
    </row>
    <row r="89" customFormat="false" ht="15" hidden="false" customHeight="false" outlineLevel="0" collapsed="false">
      <c r="A89" s="16"/>
      <c r="B89" s="16"/>
      <c r="C89" s="16"/>
      <c r="D89" s="29"/>
      <c r="E89" s="17"/>
      <c r="F89" s="13" t="str">
        <f aca="false">IF($A89="","",D89*E89)</f>
        <v/>
      </c>
      <c r="G89" s="16"/>
      <c r="H89" s="13" t="str">
        <f aca="false">IF($G89="","",IFERROR(INDEX(AHSP!$I$4:$I$43,MATCH(G89,AHSP!$B$4:$B$43,0)),""))</f>
        <v/>
      </c>
    </row>
    <row r="90" customFormat="false" ht="15" hidden="false" customHeight="false" outlineLevel="0" collapsed="false">
      <c r="A90" s="16"/>
      <c r="B90" s="16"/>
      <c r="C90" s="16"/>
      <c r="D90" s="29"/>
      <c r="E90" s="17"/>
      <c r="F90" s="13" t="str">
        <f aca="false">IF($A90="","",D90*E90)</f>
        <v/>
      </c>
      <c r="G90" s="16"/>
      <c r="H90" s="13" t="str">
        <f aca="false">IF($G90="","",IFERROR(INDEX(AHSP!$I$4:$I$43,MATCH(G90,AHSP!$B$4:$B$43,0)),""))</f>
        <v/>
      </c>
    </row>
    <row r="91" customFormat="false" ht="15" hidden="false" customHeight="false" outlineLevel="0" collapsed="false">
      <c r="A91" s="16"/>
      <c r="B91" s="16"/>
      <c r="C91" s="16"/>
      <c r="D91" s="29"/>
      <c r="E91" s="17"/>
      <c r="F91" s="13" t="str">
        <f aca="false">IF($A91="","",D91*E91)</f>
        <v/>
      </c>
      <c r="G91" s="16"/>
      <c r="H91" s="13" t="str">
        <f aca="false">IF($G91="","",IFERROR(INDEX(AHSP!$I$4:$I$43,MATCH(G91,AHSP!$B$4:$B$43,0)),""))</f>
        <v/>
      </c>
    </row>
    <row r="92" customFormat="false" ht="15" hidden="false" customHeight="false" outlineLevel="0" collapsed="false">
      <c r="A92" s="16"/>
      <c r="B92" s="16"/>
      <c r="C92" s="16"/>
      <c r="D92" s="29"/>
      <c r="E92" s="17"/>
      <c r="F92" s="13" t="str">
        <f aca="false">IF($A92="","",D92*E92)</f>
        <v/>
      </c>
      <c r="G92" s="16"/>
      <c r="H92" s="13" t="str">
        <f aca="false">IF($G92="","",IFERROR(INDEX(AHSP!$I$4:$I$43,MATCH(G92,AHSP!$B$4:$B$43,0)),""))</f>
        <v/>
      </c>
    </row>
    <row r="93" customFormat="false" ht="15" hidden="false" customHeight="false" outlineLevel="0" collapsed="false">
      <c r="A93" s="16"/>
      <c r="B93" s="16"/>
      <c r="C93" s="16"/>
      <c r="D93" s="29"/>
      <c r="E93" s="17"/>
      <c r="F93" s="13" t="str">
        <f aca="false">IF($A93="","",D93*E93)</f>
        <v/>
      </c>
      <c r="G93" s="16"/>
      <c r="H93" s="13" t="str">
        <f aca="false">IF($G93="","",IFERROR(INDEX(AHSP!$I$4:$I$43,MATCH(G93,AHSP!$B$4:$B$43,0)),""))</f>
        <v/>
      </c>
    </row>
    <row r="94" customFormat="false" ht="15" hidden="false" customHeight="false" outlineLevel="0" collapsed="false">
      <c r="A94" s="16"/>
      <c r="B94" s="16"/>
      <c r="C94" s="16"/>
      <c r="D94" s="29"/>
      <c r="E94" s="17"/>
      <c r="F94" s="13" t="str">
        <f aca="false">IF($A94="","",D94*E94)</f>
        <v/>
      </c>
      <c r="G94" s="16"/>
      <c r="H94" s="13" t="str">
        <f aca="false">IF($G94="","",IFERROR(INDEX(AHSP!$I$4:$I$43,MATCH(G94,AHSP!$B$4:$B$43,0)),""))</f>
        <v/>
      </c>
    </row>
    <row r="95" customFormat="false" ht="15" hidden="false" customHeight="false" outlineLevel="0" collapsed="false">
      <c r="A95" s="16"/>
      <c r="B95" s="16"/>
      <c r="C95" s="16"/>
      <c r="D95" s="29"/>
      <c r="E95" s="17"/>
      <c r="F95" s="13" t="str">
        <f aca="false">IF($A95="","",D95*E95)</f>
        <v/>
      </c>
      <c r="G95" s="16"/>
      <c r="H95" s="13" t="str">
        <f aca="false">IF($G95="","",IFERROR(INDEX(AHSP!$I$4:$I$43,MATCH(G95,AHSP!$B$4:$B$43,0)),""))</f>
        <v/>
      </c>
    </row>
    <row r="96" customFormat="false" ht="15" hidden="false" customHeight="false" outlineLevel="0" collapsed="false">
      <c r="A96" s="16"/>
      <c r="B96" s="16"/>
      <c r="C96" s="16"/>
      <c r="D96" s="29"/>
      <c r="E96" s="17"/>
      <c r="F96" s="13" t="str">
        <f aca="false">IF($A96="","",D96*E96)</f>
        <v/>
      </c>
      <c r="G96" s="16"/>
      <c r="H96" s="13" t="str">
        <f aca="false">IF($G96="","",IFERROR(INDEX(AHSP!$I$4:$I$43,MATCH(G96,AHSP!$B$4:$B$43,0)),""))</f>
        <v/>
      </c>
    </row>
    <row r="97" customFormat="false" ht="15" hidden="false" customHeight="false" outlineLevel="0" collapsed="false">
      <c r="A97" s="16"/>
      <c r="B97" s="16"/>
      <c r="C97" s="16"/>
      <c r="D97" s="29"/>
      <c r="E97" s="17"/>
      <c r="F97" s="13" t="str">
        <f aca="false">IF($A97="","",D97*E97)</f>
        <v/>
      </c>
      <c r="G97" s="16"/>
      <c r="H97" s="13" t="str">
        <f aca="false">IF($G97="","",IFERROR(INDEX(AHSP!$I$4:$I$43,MATCH(G97,AHSP!$B$4:$B$43,0)),""))</f>
        <v/>
      </c>
    </row>
    <row r="98" customFormat="false" ht="15" hidden="false" customHeight="false" outlineLevel="0" collapsed="false">
      <c r="A98" s="16"/>
      <c r="B98" s="16"/>
      <c r="C98" s="16"/>
      <c r="D98" s="29"/>
      <c r="E98" s="17"/>
      <c r="F98" s="13" t="str">
        <f aca="false">IF($A98="","",D98*E98)</f>
        <v/>
      </c>
      <c r="G98" s="16"/>
      <c r="H98" s="13" t="str">
        <f aca="false">IF($G98="","",IFERROR(INDEX(AHSP!$I$4:$I$43,MATCH(G98,AHSP!$B$4:$B$43,0)),""))</f>
        <v/>
      </c>
    </row>
    <row r="99" customFormat="false" ht="15" hidden="false" customHeight="false" outlineLevel="0" collapsed="false">
      <c r="A99" s="16"/>
      <c r="B99" s="16"/>
      <c r="C99" s="16"/>
      <c r="D99" s="29"/>
      <c r="E99" s="17"/>
      <c r="F99" s="13" t="str">
        <f aca="false">IF($A99="","",D99*E99)</f>
        <v/>
      </c>
      <c r="G99" s="16"/>
      <c r="H99" s="13" t="str">
        <f aca="false">IF($G99="","",IFERROR(INDEX(AHSP!$I$4:$I$43,MATCH(G99,AHSP!$B$4:$B$43,0)),""))</f>
        <v/>
      </c>
    </row>
    <row r="100" customFormat="false" ht="15" hidden="false" customHeight="false" outlineLevel="0" collapsed="false">
      <c r="A100" s="16"/>
      <c r="B100" s="16"/>
      <c r="C100" s="16"/>
      <c r="D100" s="29"/>
      <c r="E100" s="17"/>
      <c r="F100" s="13" t="str">
        <f aca="false">IF($A100="","",D100*E100)</f>
        <v/>
      </c>
      <c r="G100" s="16"/>
      <c r="H100" s="13" t="str">
        <f aca="false">IF($G100="","",IFERROR(INDEX(AHSP!$I$4:$I$43,MATCH(G100,AHSP!$B$4:$B$43,0)),""))</f>
        <v/>
      </c>
    </row>
    <row r="101" customFormat="false" ht="15" hidden="false" customHeight="false" outlineLevel="0" collapsed="false">
      <c r="A101" s="16"/>
      <c r="B101" s="16"/>
      <c r="C101" s="16"/>
      <c r="D101" s="29"/>
      <c r="E101" s="17"/>
      <c r="F101" s="13" t="str">
        <f aca="false">IF($A101="","",D101*E101)</f>
        <v/>
      </c>
      <c r="G101" s="16"/>
      <c r="H101" s="13" t="str">
        <f aca="false">IF($G101="","",IFERROR(INDEX(AHSP!$I$4:$I$43,MATCH(G101,AHSP!$B$4:$B$43,0)),""))</f>
        <v/>
      </c>
    </row>
    <row r="102" customFormat="false" ht="15" hidden="false" customHeight="false" outlineLevel="0" collapsed="false">
      <c r="A102" s="16"/>
      <c r="B102" s="16"/>
      <c r="C102" s="16"/>
      <c r="D102" s="29"/>
      <c r="E102" s="17"/>
      <c r="F102" s="13" t="str">
        <f aca="false">IF($A102="","",D102*E102)</f>
        <v/>
      </c>
      <c r="G102" s="16"/>
      <c r="H102" s="13" t="str">
        <f aca="false">IF($G102="","",IFERROR(INDEX(AHSP!$I$4:$I$43,MATCH(G102,AHSP!$B$4:$B$43,0)),""))</f>
        <v/>
      </c>
    </row>
    <row r="103" customFormat="false" ht="15" hidden="false" customHeight="false" outlineLevel="0" collapsed="false">
      <c r="A103" s="16"/>
      <c r="B103" s="16"/>
      <c r="C103" s="16"/>
      <c r="D103" s="29"/>
      <c r="E103" s="17"/>
      <c r="F103" s="13" t="str">
        <f aca="false">IF($A103="","",D103*E103)</f>
        <v/>
      </c>
      <c r="G103" s="16"/>
      <c r="H103" s="13" t="str">
        <f aca="false">IF($G103="","",IFERROR(INDEX(AHSP!$I$4:$I$43,MATCH(G103,AHSP!$B$4:$B$43,0)),""))</f>
        <v/>
      </c>
    </row>
    <row r="104" customFormat="false" ht="15" hidden="false" customHeight="false" outlineLevel="0" collapsed="false">
      <c r="A104" s="16"/>
      <c r="B104" s="16"/>
      <c r="C104" s="16"/>
      <c r="D104" s="29"/>
      <c r="E104" s="17"/>
      <c r="F104" s="13" t="str">
        <f aca="false">IF($A104="","",D104*E104)</f>
        <v/>
      </c>
      <c r="G104" s="16"/>
      <c r="H104" s="13" t="str">
        <f aca="false">IF($G104="","",IFERROR(INDEX(AHSP!$I$4:$I$43,MATCH(G104,AHSP!$B$4:$B$43,0)),""))</f>
        <v/>
      </c>
    </row>
    <row r="105" customFormat="false" ht="15" hidden="false" customHeight="false" outlineLevel="0" collapsed="false">
      <c r="A105" s="16"/>
      <c r="B105" s="16"/>
      <c r="C105" s="16"/>
      <c r="D105" s="29"/>
      <c r="E105" s="17"/>
      <c r="F105" s="13" t="str">
        <f aca="false">IF($A105="","",D105*E105)</f>
        <v/>
      </c>
      <c r="G105" s="16"/>
      <c r="H105" s="13" t="str">
        <f aca="false">IF($G105="","",IFERROR(INDEX(AHSP!$I$4:$I$43,MATCH(G105,AHSP!$B$4:$B$43,0)),""))</f>
        <v/>
      </c>
    </row>
    <row r="106" customFormat="false" ht="15" hidden="false" customHeight="false" outlineLevel="0" collapsed="false">
      <c r="A106" s="16"/>
      <c r="B106" s="16"/>
      <c r="C106" s="16"/>
      <c r="D106" s="29"/>
      <c r="E106" s="17"/>
      <c r="F106" s="13" t="str">
        <f aca="false">IF($A106="","",D106*E106)</f>
        <v/>
      </c>
      <c r="G106" s="16"/>
      <c r="H106" s="13" t="str">
        <f aca="false">IF($G106="","",IFERROR(INDEX(AHSP!$I$4:$I$43,MATCH(G106,AHSP!$B$4:$B$43,0)),""))</f>
        <v/>
      </c>
    </row>
    <row r="107" customFormat="false" ht="15" hidden="false" customHeight="false" outlineLevel="0" collapsed="false">
      <c r="A107" s="16"/>
      <c r="B107" s="16"/>
      <c r="C107" s="16"/>
      <c r="D107" s="29"/>
      <c r="E107" s="17"/>
      <c r="F107" s="13" t="str">
        <f aca="false">IF($A107="","",D107*E107)</f>
        <v/>
      </c>
      <c r="G107" s="16"/>
      <c r="H107" s="13" t="str">
        <f aca="false">IF($G107="","",IFERROR(INDEX(AHSP!$I$4:$I$43,MATCH(G107,AHSP!$B$4:$B$43,0)),""))</f>
        <v/>
      </c>
    </row>
    <row r="108" customFormat="false" ht="15" hidden="false" customHeight="false" outlineLevel="0" collapsed="false">
      <c r="A108" s="16"/>
      <c r="B108" s="16"/>
      <c r="C108" s="16"/>
      <c r="D108" s="29"/>
      <c r="E108" s="17"/>
      <c r="F108" s="13" t="str">
        <f aca="false">IF($A108="","",D108*E108)</f>
        <v/>
      </c>
      <c r="G108" s="16"/>
      <c r="H108" s="13" t="str">
        <f aca="false">IF($G108="","",IFERROR(INDEX(AHSP!$I$4:$I$43,MATCH(G108,AHSP!$B$4:$B$43,0)),""))</f>
        <v/>
      </c>
    </row>
    <row r="109" customFormat="false" ht="15" hidden="false" customHeight="false" outlineLevel="0" collapsed="false">
      <c r="A109" s="16"/>
      <c r="B109" s="16"/>
      <c r="C109" s="16"/>
      <c r="D109" s="29"/>
      <c r="E109" s="17"/>
      <c r="F109" s="13" t="str">
        <f aca="false">IF($A109="","",D109*E109)</f>
        <v/>
      </c>
      <c r="G109" s="16"/>
      <c r="H109" s="13" t="str">
        <f aca="false">IF($G109="","",IFERROR(INDEX(AHSP!$I$4:$I$43,MATCH(G109,AHSP!$B$4:$B$43,0)),""))</f>
        <v/>
      </c>
    </row>
    <row r="110" customFormat="false" ht="15" hidden="false" customHeight="false" outlineLevel="0" collapsed="false">
      <c r="A110" s="16"/>
      <c r="B110" s="16"/>
      <c r="C110" s="16"/>
      <c r="D110" s="29"/>
      <c r="E110" s="17"/>
      <c r="F110" s="13" t="str">
        <f aca="false">IF($A110="","",D110*E110)</f>
        <v/>
      </c>
      <c r="G110" s="16"/>
      <c r="H110" s="13" t="str">
        <f aca="false">IF($G110="","",IFERROR(INDEX(AHSP!$I$4:$I$43,MATCH(G110,AHSP!$B$4:$B$43,0)),""))</f>
        <v/>
      </c>
    </row>
    <row r="111" customFormat="false" ht="15" hidden="false" customHeight="false" outlineLevel="0" collapsed="false">
      <c r="A111" s="16"/>
      <c r="B111" s="16"/>
      <c r="C111" s="16"/>
      <c r="D111" s="29"/>
      <c r="E111" s="17"/>
      <c r="F111" s="13" t="str">
        <f aca="false">IF($A111="","",D111*E111)</f>
        <v/>
      </c>
      <c r="G111" s="16"/>
      <c r="H111" s="13" t="str">
        <f aca="false">IF($G111="","",IFERROR(INDEX(AHSP!$I$4:$I$43,MATCH(G111,AHSP!$B$4:$B$43,0)),""))</f>
        <v/>
      </c>
    </row>
    <row r="112" customFormat="false" ht="15" hidden="false" customHeight="false" outlineLevel="0" collapsed="false">
      <c r="A112" s="16"/>
      <c r="B112" s="16"/>
      <c r="C112" s="16"/>
      <c r="D112" s="29"/>
      <c r="E112" s="17"/>
      <c r="F112" s="13" t="str">
        <f aca="false">IF($A112="","",D112*E112)</f>
        <v/>
      </c>
      <c r="G112" s="16"/>
      <c r="H112" s="13" t="str">
        <f aca="false">IF($G112="","",IFERROR(INDEX(AHSP!$I$4:$I$43,MATCH(G112,AHSP!$B$4:$B$43,0)),""))</f>
        <v/>
      </c>
    </row>
    <row r="113" customFormat="false" ht="15" hidden="false" customHeight="false" outlineLevel="0" collapsed="false">
      <c r="A113" s="16"/>
      <c r="B113" s="16"/>
      <c r="C113" s="16"/>
      <c r="D113" s="29"/>
      <c r="E113" s="17"/>
      <c r="F113" s="13" t="str">
        <f aca="false">IF($A113="","",D113*E113)</f>
        <v/>
      </c>
      <c r="G113" s="16"/>
      <c r="H113" s="13" t="str">
        <f aca="false">IF($G113="","",IFERROR(INDEX(AHSP!$I$4:$I$43,MATCH(G113,AHSP!$B$4:$B$43,0)),""))</f>
        <v/>
      </c>
    </row>
    <row r="114" customFormat="false" ht="15" hidden="false" customHeight="false" outlineLevel="0" collapsed="false">
      <c r="A114" s="16"/>
      <c r="B114" s="16"/>
      <c r="C114" s="16"/>
      <c r="D114" s="29"/>
      <c r="E114" s="17"/>
      <c r="F114" s="13" t="str">
        <f aca="false">IF($A114="","",D114*E114)</f>
        <v/>
      </c>
      <c r="G114" s="16"/>
      <c r="H114" s="13" t="str">
        <f aca="false">IF($G114="","",IFERROR(INDEX(AHSP!$I$4:$I$43,MATCH(G114,AHSP!$B$4:$B$43,0)),""))</f>
        <v/>
      </c>
    </row>
    <row r="115" customFormat="false" ht="15" hidden="false" customHeight="false" outlineLevel="0" collapsed="false">
      <c r="A115" s="16"/>
      <c r="B115" s="16"/>
      <c r="C115" s="16"/>
      <c r="D115" s="29"/>
      <c r="E115" s="17"/>
      <c r="F115" s="13" t="str">
        <f aca="false">IF($A115="","",D115*E115)</f>
        <v/>
      </c>
      <c r="G115" s="16"/>
      <c r="H115" s="13" t="str">
        <f aca="false">IF($G115="","",IFERROR(INDEX(AHSP!$I$4:$I$43,MATCH(G115,AHSP!$B$4:$B$43,0)),""))</f>
        <v/>
      </c>
    </row>
    <row r="116" customFormat="false" ht="15" hidden="false" customHeight="false" outlineLevel="0" collapsed="false">
      <c r="A116" s="16"/>
      <c r="B116" s="16"/>
      <c r="C116" s="16"/>
      <c r="D116" s="29"/>
      <c r="E116" s="17"/>
      <c r="F116" s="13" t="str">
        <f aca="false">IF($A116="","",D116*E116)</f>
        <v/>
      </c>
      <c r="G116" s="16"/>
      <c r="H116" s="13" t="str">
        <f aca="false">IF($G116="","",IFERROR(INDEX(AHSP!$I$4:$I$43,MATCH(G116,AHSP!$B$4:$B$43,0)),""))</f>
        <v/>
      </c>
    </row>
    <row r="117" customFormat="false" ht="15" hidden="false" customHeight="false" outlineLevel="0" collapsed="false">
      <c r="A117" s="16"/>
      <c r="B117" s="16"/>
      <c r="C117" s="16"/>
      <c r="D117" s="29"/>
      <c r="E117" s="17"/>
      <c r="F117" s="13" t="str">
        <f aca="false">IF($A117="","",D117*E117)</f>
        <v/>
      </c>
      <c r="G117" s="16"/>
      <c r="H117" s="13" t="str">
        <f aca="false">IF($G117="","",IFERROR(INDEX(AHSP!$I$4:$I$43,MATCH(G117,AHSP!$B$4:$B$43,0)),""))</f>
        <v/>
      </c>
    </row>
    <row r="118" customFormat="false" ht="15" hidden="false" customHeight="false" outlineLevel="0" collapsed="false">
      <c r="A118" s="16"/>
      <c r="B118" s="16"/>
      <c r="C118" s="16"/>
      <c r="D118" s="29"/>
      <c r="E118" s="17"/>
      <c r="F118" s="13" t="str">
        <f aca="false">IF($A118="","",D118*E118)</f>
        <v/>
      </c>
      <c r="G118" s="16"/>
      <c r="H118" s="13" t="str">
        <f aca="false">IF($G118="","",IFERROR(INDEX(AHSP!$I$4:$I$43,MATCH(G118,AHSP!$B$4:$B$43,0)),""))</f>
        <v/>
      </c>
    </row>
    <row r="119" customFormat="false" ht="15" hidden="false" customHeight="false" outlineLevel="0" collapsed="false">
      <c r="A119" s="16"/>
      <c r="B119" s="16"/>
      <c r="C119" s="16"/>
      <c r="D119" s="29"/>
      <c r="E119" s="17"/>
      <c r="F119" s="13" t="str">
        <f aca="false">IF($A119="","",D119*E119)</f>
        <v/>
      </c>
      <c r="G119" s="16"/>
      <c r="H119" s="13" t="str">
        <f aca="false">IF($G119="","",IFERROR(INDEX(AHSP!$I$4:$I$43,MATCH(G119,AHSP!$B$4:$B$43,0)),""))</f>
        <v/>
      </c>
    </row>
    <row r="120" customFormat="false" ht="15" hidden="false" customHeight="false" outlineLevel="0" collapsed="false">
      <c r="A120" s="16"/>
      <c r="B120" s="16"/>
      <c r="C120" s="16"/>
      <c r="D120" s="29"/>
      <c r="E120" s="17"/>
      <c r="F120" s="13" t="str">
        <f aca="false">IF($A120="","",D120*E120)</f>
        <v/>
      </c>
      <c r="G120" s="16"/>
      <c r="H120" s="13" t="str">
        <f aca="false">IF($G120="","",IFERROR(INDEX(AHSP!$I$4:$I$43,MATCH(G120,AHSP!$B$4:$B$43,0)),""))</f>
        <v/>
      </c>
    </row>
    <row r="121" customFormat="false" ht="15" hidden="false" customHeight="false" outlineLevel="0" collapsed="false">
      <c r="A121" s="16"/>
      <c r="B121" s="16"/>
      <c r="C121" s="16"/>
      <c r="D121" s="29"/>
      <c r="E121" s="17"/>
      <c r="F121" s="13" t="str">
        <f aca="false">IF($A121="","",D121*E121)</f>
        <v/>
      </c>
      <c r="G121" s="16"/>
      <c r="H121" s="13" t="str">
        <f aca="false">IF($G121="","",IFERROR(INDEX(AHSP!$I$4:$I$43,MATCH(G121,AHSP!$B$4:$B$43,0)),""))</f>
        <v/>
      </c>
    </row>
    <row r="122" customFormat="false" ht="15" hidden="false" customHeight="false" outlineLevel="0" collapsed="false">
      <c r="A122" s="16"/>
      <c r="B122" s="16"/>
      <c r="C122" s="16"/>
      <c r="D122" s="29"/>
      <c r="E122" s="17"/>
      <c r="F122" s="13" t="str">
        <f aca="false">IF($A122="","",D122*E122)</f>
        <v/>
      </c>
      <c r="G122" s="16"/>
      <c r="H122" s="13" t="str">
        <f aca="false">IF($G122="","",IFERROR(INDEX(AHSP!$I$4:$I$43,MATCH(G122,AHSP!$B$4:$B$43,0)),""))</f>
        <v/>
      </c>
    </row>
    <row r="123" customFormat="false" ht="15" hidden="false" customHeight="false" outlineLevel="0" collapsed="false">
      <c r="A123" s="16"/>
      <c r="B123" s="16"/>
      <c r="C123" s="16"/>
      <c r="D123" s="29"/>
      <c r="E123" s="17"/>
      <c r="F123" s="13" t="str">
        <f aca="false">IF($A123="","",D123*E123)</f>
        <v/>
      </c>
      <c r="G123" s="16"/>
      <c r="H123" s="13" t="str">
        <f aca="false">IF($G123="","",IFERROR(INDEX(AHSP!$I$4:$I$43,MATCH(G123,AHSP!$B$4:$B$43,0)),""))</f>
        <v/>
      </c>
    </row>
    <row r="124" customFormat="false" ht="15" hidden="false" customHeight="false" outlineLevel="0" collapsed="false">
      <c r="A124" s="16"/>
      <c r="B124" s="16"/>
      <c r="C124" s="16"/>
      <c r="D124" s="29"/>
      <c r="E124" s="17"/>
      <c r="F124" s="13" t="str">
        <f aca="false">IF($A124="","",D124*E124)</f>
        <v/>
      </c>
      <c r="G124" s="16"/>
      <c r="H124" s="13" t="str">
        <f aca="false">IF($G124="","",IFERROR(INDEX(AHSP!$I$4:$I$43,MATCH(G124,AHSP!$B$4:$B$43,0)),""))</f>
        <v/>
      </c>
    </row>
    <row r="125" customFormat="false" ht="15" hidden="false" customHeight="false" outlineLevel="0" collapsed="false">
      <c r="A125" s="16"/>
      <c r="B125" s="16"/>
      <c r="C125" s="16"/>
      <c r="D125" s="29"/>
      <c r="E125" s="17"/>
      <c r="F125" s="13" t="str">
        <f aca="false">IF($A125="","",D125*E125)</f>
        <v/>
      </c>
      <c r="G125" s="16"/>
      <c r="H125" s="13" t="str">
        <f aca="false">IF($G125="","",IFERROR(INDEX(AHSP!$I$4:$I$43,MATCH(G125,AHSP!$B$4:$B$43,0)),""))</f>
        <v/>
      </c>
    </row>
    <row r="126" customFormat="false" ht="15" hidden="false" customHeight="false" outlineLevel="0" collapsed="false">
      <c r="A126" s="16"/>
      <c r="B126" s="16"/>
      <c r="C126" s="16"/>
      <c r="D126" s="29"/>
      <c r="E126" s="17"/>
      <c r="F126" s="13" t="str">
        <f aca="false">IF($A126="","",D126*E126)</f>
        <v/>
      </c>
      <c r="G126" s="16"/>
      <c r="H126" s="13" t="str">
        <f aca="false">IF($G126="","",IFERROR(INDEX(AHSP!$I$4:$I$43,MATCH(G126,AHSP!$B$4:$B$43,0)),""))</f>
        <v/>
      </c>
    </row>
    <row r="127" customFormat="false" ht="15" hidden="false" customHeight="false" outlineLevel="0" collapsed="false">
      <c r="A127" s="16"/>
      <c r="B127" s="16"/>
      <c r="C127" s="16"/>
      <c r="D127" s="29"/>
      <c r="E127" s="17"/>
      <c r="F127" s="13" t="str">
        <f aca="false">IF($A127="","",D127*E127)</f>
        <v/>
      </c>
      <c r="G127" s="16"/>
      <c r="H127" s="13" t="str">
        <f aca="false">IF($G127="","",IFERROR(INDEX(AHSP!$I$4:$I$43,MATCH(G127,AHSP!$B$4:$B$43,0)),""))</f>
        <v/>
      </c>
    </row>
    <row r="128" customFormat="false" ht="15" hidden="false" customHeight="false" outlineLevel="0" collapsed="false">
      <c r="A128" s="16"/>
      <c r="B128" s="16"/>
      <c r="C128" s="16"/>
      <c r="D128" s="29"/>
      <c r="E128" s="17"/>
      <c r="F128" s="13" t="str">
        <f aca="false">IF($A128="","",D128*E128)</f>
        <v/>
      </c>
      <c r="G128" s="16"/>
      <c r="H128" s="13" t="str">
        <f aca="false">IF($G128="","",IFERROR(INDEX(AHSP!$I$4:$I$43,MATCH(G128,AHSP!$B$4:$B$43,0)),""))</f>
        <v/>
      </c>
    </row>
    <row r="129" customFormat="false" ht="15" hidden="false" customHeight="false" outlineLevel="0" collapsed="false">
      <c r="A129" s="16"/>
      <c r="B129" s="16"/>
      <c r="C129" s="16"/>
      <c r="D129" s="29"/>
      <c r="E129" s="17"/>
      <c r="F129" s="13" t="str">
        <f aca="false">IF($A129="","",D129*E129)</f>
        <v/>
      </c>
      <c r="G129" s="16"/>
      <c r="H129" s="13" t="str">
        <f aca="false">IF($G129="","",IFERROR(INDEX(AHSP!$I$4:$I$43,MATCH(G129,AHSP!$B$4:$B$43,0)),""))</f>
        <v/>
      </c>
    </row>
    <row r="130" customFormat="false" ht="15" hidden="false" customHeight="false" outlineLevel="0" collapsed="false">
      <c r="A130" s="16"/>
      <c r="B130" s="16"/>
      <c r="C130" s="16"/>
      <c r="D130" s="29"/>
      <c r="E130" s="17"/>
      <c r="F130" s="13" t="str">
        <f aca="false">IF($A130="","",D130*E130)</f>
        <v/>
      </c>
      <c r="G130" s="16"/>
      <c r="H130" s="13" t="str">
        <f aca="false">IF($G130="","",IFERROR(INDEX(AHSP!$I$4:$I$43,MATCH(G130,AHSP!$B$4:$B$43,0)),""))</f>
        <v/>
      </c>
    </row>
    <row r="131" customFormat="false" ht="15" hidden="false" customHeight="false" outlineLevel="0" collapsed="false">
      <c r="A131" s="16"/>
      <c r="B131" s="16"/>
      <c r="C131" s="16"/>
      <c r="D131" s="29"/>
      <c r="E131" s="17"/>
      <c r="F131" s="13" t="str">
        <f aca="false">IF($A131="","",D131*E131)</f>
        <v/>
      </c>
      <c r="G131" s="16"/>
      <c r="H131" s="13" t="str">
        <f aca="false">IF($G131="","",IFERROR(INDEX(AHSP!$I$4:$I$43,MATCH(G131,AHSP!$B$4:$B$43,0)),""))</f>
        <v/>
      </c>
    </row>
    <row r="132" customFormat="false" ht="15" hidden="false" customHeight="false" outlineLevel="0" collapsed="false">
      <c r="A132" s="16"/>
      <c r="B132" s="16"/>
      <c r="C132" s="16"/>
      <c r="D132" s="29"/>
      <c r="E132" s="17"/>
      <c r="F132" s="13" t="str">
        <f aca="false">IF($A132="","",D132*E132)</f>
        <v/>
      </c>
      <c r="G132" s="16"/>
      <c r="H132" s="13" t="str">
        <f aca="false">IF($G132="","",IFERROR(INDEX(AHSP!$I$4:$I$43,MATCH(G132,AHSP!$B$4:$B$43,0)),""))</f>
        <v/>
      </c>
    </row>
    <row r="133" customFormat="false" ht="15" hidden="false" customHeight="false" outlineLevel="0" collapsed="false">
      <c r="A133" s="16"/>
      <c r="B133" s="16"/>
      <c r="C133" s="16"/>
      <c r="D133" s="29"/>
      <c r="E133" s="17"/>
      <c r="F133" s="13" t="str">
        <f aca="false">IF($A133="","",D133*E133)</f>
        <v/>
      </c>
      <c r="G133" s="16"/>
      <c r="H133" s="13" t="str">
        <f aca="false">IF($G133="","",IFERROR(INDEX(AHSP!$I$4:$I$43,MATCH(G133,AHSP!$B$4:$B$43,0)),""))</f>
        <v/>
      </c>
    </row>
    <row r="134" customFormat="false" ht="15" hidden="false" customHeight="false" outlineLevel="0" collapsed="false">
      <c r="A134" s="16"/>
      <c r="B134" s="16"/>
      <c r="C134" s="16"/>
      <c r="D134" s="29"/>
      <c r="E134" s="17"/>
      <c r="F134" s="13" t="str">
        <f aca="false">IF($A134="","",D134*E134)</f>
        <v/>
      </c>
      <c r="G134" s="16"/>
      <c r="H134" s="13" t="str">
        <f aca="false">IF($G134="","",IFERROR(INDEX(AHSP!$I$4:$I$43,MATCH(G134,AHSP!$B$4:$B$43,0)),""))</f>
        <v/>
      </c>
    </row>
    <row r="135" customFormat="false" ht="15" hidden="false" customHeight="false" outlineLevel="0" collapsed="false">
      <c r="A135" s="16"/>
      <c r="B135" s="16"/>
      <c r="C135" s="16"/>
      <c r="D135" s="29"/>
      <c r="E135" s="17"/>
      <c r="F135" s="13" t="str">
        <f aca="false">IF($A135="","",D135*E135)</f>
        <v/>
      </c>
      <c r="G135" s="16"/>
      <c r="H135" s="13" t="str">
        <f aca="false">IF($G135="","",IFERROR(INDEX(AHSP!$I$4:$I$43,MATCH(G135,AHSP!$B$4:$B$43,0)),""))</f>
        <v/>
      </c>
    </row>
    <row r="136" customFormat="false" ht="15" hidden="false" customHeight="false" outlineLevel="0" collapsed="false">
      <c r="A136" s="16"/>
      <c r="B136" s="16"/>
      <c r="C136" s="16"/>
      <c r="D136" s="29"/>
      <c r="E136" s="17"/>
      <c r="F136" s="13" t="str">
        <f aca="false">IF($A136="","",D136*E136)</f>
        <v/>
      </c>
      <c r="G136" s="16"/>
      <c r="H136" s="13" t="str">
        <f aca="false">IF($G136="","",IFERROR(INDEX(AHSP!$I$4:$I$43,MATCH(G136,AHSP!$B$4:$B$43,0)),""))</f>
        <v/>
      </c>
    </row>
    <row r="137" customFormat="false" ht="15" hidden="false" customHeight="false" outlineLevel="0" collapsed="false">
      <c r="A137" s="16"/>
      <c r="B137" s="16"/>
      <c r="C137" s="16"/>
      <c r="D137" s="29"/>
      <c r="E137" s="17"/>
      <c r="F137" s="13" t="str">
        <f aca="false">IF($A137="","",D137*E137)</f>
        <v/>
      </c>
      <c r="G137" s="16"/>
      <c r="H137" s="13" t="str">
        <f aca="false">IF($G137="","",IFERROR(INDEX(AHSP!$I$4:$I$43,MATCH(G137,AHSP!$B$4:$B$43,0)),""))</f>
        <v/>
      </c>
    </row>
    <row r="138" customFormat="false" ht="15" hidden="false" customHeight="false" outlineLevel="0" collapsed="false">
      <c r="A138" s="16"/>
      <c r="B138" s="16"/>
      <c r="C138" s="16"/>
      <c r="D138" s="29"/>
      <c r="E138" s="17"/>
      <c r="F138" s="13" t="str">
        <f aca="false">IF($A138="","",D138*E138)</f>
        <v/>
      </c>
      <c r="G138" s="16"/>
      <c r="H138" s="13" t="str">
        <f aca="false">IF($G138="","",IFERROR(INDEX(AHSP!$I$4:$I$43,MATCH(G138,AHSP!$B$4:$B$43,0)),""))</f>
        <v/>
      </c>
    </row>
    <row r="139" customFormat="false" ht="15" hidden="false" customHeight="false" outlineLevel="0" collapsed="false">
      <c r="A139" s="16"/>
      <c r="B139" s="16"/>
      <c r="C139" s="16"/>
      <c r="D139" s="29"/>
      <c r="E139" s="17"/>
      <c r="F139" s="13" t="str">
        <f aca="false">IF($A139="","",D139*E139)</f>
        <v/>
      </c>
      <c r="G139" s="16"/>
      <c r="H139" s="13" t="str">
        <f aca="false">IF($G139="","",IFERROR(INDEX(AHSP!$I$4:$I$43,MATCH(G139,AHSP!$B$4:$B$43,0)),""))</f>
        <v/>
      </c>
    </row>
    <row r="140" customFormat="false" ht="15" hidden="false" customHeight="false" outlineLevel="0" collapsed="false">
      <c r="A140" s="16"/>
      <c r="B140" s="16"/>
      <c r="C140" s="16"/>
      <c r="D140" s="29"/>
      <c r="E140" s="17"/>
      <c r="F140" s="13" t="str">
        <f aca="false">IF($A140="","",D140*E140)</f>
        <v/>
      </c>
      <c r="G140" s="16"/>
      <c r="H140" s="13" t="str">
        <f aca="false">IF($G140="","",IFERROR(INDEX(AHSP!$I$4:$I$43,MATCH(G140,AHSP!$B$4:$B$43,0)),""))</f>
        <v/>
      </c>
    </row>
    <row r="141" customFormat="false" ht="15" hidden="false" customHeight="false" outlineLevel="0" collapsed="false">
      <c r="A141" s="16"/>
      <c r="B141" s="16"/>
      <c r="C141" s="16"/>
      <c r="D141" s="29"/>
      <c r="E141" s="17"/>
      <c r="F141" s="13" t="str">
        <f aca="false">IF($A141="","",D141*E141)</f>
        <v/>
      </c>
      <c r="G141" s="16"/>
      <c r="H141" s="13" t="str">
        <f aca="false">IF($G141="","",IFERROR(INDEX(AHSP!$I$4:$I$43,MATCH(G141,AHSP!$B$4:$B$43,0)),""))</f>
        <v/>
      </c>
    </row>
    <row r="142" customFormat="false" ht="15" hidden="false" customHeight="false" outlineLevel="0" collapsed="false">
      <c r="A142" s="16"/>
      <c r="B142" s="16"/>
      <c r="C142" s="16"/>
      <c r="D142" s="29"/>
      <c r="E142" s="17"/>
      <c r="F142" s="13" t="str">
        <f aca="false">IF($A142="","",D142*E142)</f>
        <v/>
      </c>
      <c r="G142" s="16"/>
      <c r="H142" s="13" t="str">
        <f aca="false">IF($G142="","",IFERROR(INDEX(AHSP!$I$4:$I$43,MATCH(G142,AHSP!$B$4:$B$43,0)),""))</f>
        <v/>
      </c>
    </row>
    <row r="143" customFormat="false" ht="15" hidden="false" customHeight="false" outlineLevel="0" collapsed="false">
      <c r="A143" s="16"/>
      <c r="B143" s="16"/>
      <c r="C143" s="16"/>
      <c r="D143" s="29"/>
      <c r="E143" s="17"/>
      <c r="F143" s="13" t="str">
        <f aca="false">IF($A143="","",D143*E143)</f>
        <v/>
      </c>
      <c r="G143" s="16"/>
      <c r="H143" s="13" t="str">
        <f aca="false">IF($G143="","",IFERROR(INDEX(AHSP!$I$4:$I$43,MATCH(G143,AHSP!$B$4:$B$43,0)),""))</f>
        <v/>
      </c>
    </row>
    <row r="144" customFormat="false" ht="15" hidden="false" customHeight="false" outlineLevel="0" collapsed="false">
      <c r="A144" s="16"/>
      <c r="B144" s="16"/>
      <c r="C144" s="16"/>
      <c r="D144" s="29"/>
      <c r="E144" s="17"/>
      <c r="F144" s="13" t="str">
        <f aca="false">IF($A144="","",D144*E144)</f>
        <v/>
      </c>
      <c r="G144" s="16"/>
      <c r="H144" s="13" t="str">
        <f aca="false">IF($G144="","",IFERROR(INDEX(AHSP!$I$4:$I$43,MATCH(G144,AHSP!$B$4:$B$43,0)),""))</f>
        <v/>
      </c>
    </row>
    <row r="145" customFormat="false" ht="15" hidden="false" customHeight="false" outlineLevel="0" collapsed="false">
      <c r="A145" s="16"/>
      <c r="B145" s="16"/>
      <c r="C145" s="16"/>
      <c r="D145" s="29"/>
      <c r="E145" s="17"/>
      <c r="F145" s="13" t="str">
        <f aca="false">IF($A145="","",D145*E145)</f>
        <v/>
      </c>
      <c r="G145" s="16"/>
      <c r="H145" s="13" t="str">
        <f aca="false">IF($G145="","",IFERROR(INDEX(AHSP!$I$4:$I$43,MATCH(G145,AHSP!$B$4:$B$43,0)),""))</f>
        <v/>
      </c>
    </row>
    <row r="146" customFormat="false" ht="15" hidden="false" customHeight="false" outlineLevel="0" collapsed="false">
      <c r="A146" s="16"/>
      <c r="B146" s="16"/>
      <c r="C146" s="16"/>
      <c r="D146" s="29"/>
      <c r="E146" s="17"/>
      <c r="F146" s="13" t="str">
        <f aca="false">IF($A146="","",D146*E146)</f>
        <v/>
      </c>
      <c r="G146" s="16"/>
      <c r="H146" s="13" t="str">
        <f aca="false">IF($G146="","",IFERROR(INDEX(AHSP!$I$4:$I$43,MATCH(G146,AHSP!$B$4:$B$43,0)),""))</f>
        <v/>
      </c>
    </row>
    <row r="147" customFormat="false" ht="15" hidden="false" customHeight="false" outlineLevel="0" collapsed="false">
      <c r="A147" s="16"/>
      <c r="B147" s="16"/>
      <c r="C147" s="16"/>
      <c r="D147" s="29"/>
      <c r="E147" s="17"/>
      <c r="F147" s="13" t="str">
        <f aca="false">IF($A147="","",D147*E147)</f>
        <v/>
      </c>
      <c r="G147" s="16"/>
      <c r="H147" s="13" t="str">
        <f aca="false">IF($G147="","",IFERROR(INDEX(AHSP!$I$4:$I$43,MATCH(G147,AHSP!$B$4:$B$43,0)),""))</f>
        <v/>
      </c>
    </row>
    <row r="148" customFormat="false" ht="15" hidden="false" customHeight="false" outlineLevel="0" collapsed="false">
      <c r="A148" s="16"/>
      <c r="B148" s="16"/>
      <c r="C148" s="16"/>
      <c r="D148" s="29"/>
      <c r="E148" s="17"/>
      <c r="F148" s="13" t="str">
        <f aca="false">IF($A148="","",D148*E148)</f>
        <v/>
      </c>
      <c r="G148" s="16"/>
      <c r="H148" s="13" t="str">
        <f aca="false">IF($G148="","",IFERROR(INDEX(AHSP!$I$4:$I$43,MATCH(G148,AHSP!$B$4:$B$43,0)),""))</f>
        <v/>
      </c>
    </row>
    <row r="149" customFormat="false" ht="15" hidden="false" customHeight="false" outlineLevel="0" collapsed="false">
      <c r="A149" s="16"/>
      <c r="B149" s="16"/>
      <c r="C149" s="16"/>
      <c r="D149" s="29"/>
      <c r="E149" s="17"/>
      <c r="F149" s="13" t="str">
        <f aca="false">IF($A149="","",D149*E149)</f>
        <v/>
      </c>
      <c r="G149" s="16"/>
      <c r="H149" s="13" t="str">
        <f aca="false">IF($G149="","",IFERROR(INDEX(AHSP!$I$4:$I$43,MATCH(G149,AHSP!$B$4:$B$43,0)),""))</f>
        <v/>
      </c>
    </row>
    <row r="150" customFormat="false" ht="15" hidden="false" customHeight="false" outlineLevel="0" collapsed="false">
      <c r="A150" s="16"/>
      <c r="B150" s="16"/>
      <c r="C150" s="16"/>
      <c r="D150" s="29"/>
      <c r="E150" s="17"/>
      <c r="F150" s="13" t="str">
        <f aca="false">IF($A150="","",D150*E150)</f>
        <v/>
      </c>
      <c r="G150" s="16"/>
      <c r="H150" s="13" t="str">
        <f aca="false">IF($G150="","",IFERROR(INDEX(AHSP!$I$4:$I$43,MATCH(G150,AHSP!$B$4:$B$43,0)),""))</f>
        <v/>
      </c>
    </row>
    <row r="151" customFormat="false" ht="15" hidden="false" customHeight="false" outlineLevel="0" collapsed="false">
      <c r="A151" s="16"/>
      <c r="B151" s="16"/>
      <c r="C151" s="16"/>
      <c r="D151" s="29"/>
      <c r="E151" s="17"/>
      <c r="F151" s="13" t="str">
        <f aca="false">IF($A151="","",D151*E151)</f>
        <v/>
      </c>
      <c r="G151" s="16"/>
      <c r="H151" s="13" t="str">
        <f aca="false">IF($G151="","",IFERROR(INDEX(AHSP!$I$4:$I$43,MATCH(G151,AHSP!$B$4:$B$43,0)),""))</f>
        <v/>
      </c>
    </row>
    <row r="152" customFormat="false" ht="15" hidden="false" customHeight="false" outlineLevel="0" collapsed="false">
      <c r="A152" s="16"/>
      <c r="B152" s="16"/>
      <c r="C152" s="16"/>
      <c r="D152" s="29"/>
      <c r="E152" s="17"/>
      <c r="F152" s="13" t="str">
        <f aca="false">IF($A152="","",D152*E152)</f>
        <v/>
      </c>
      <c r="G152" s="16"/>
      <c r="H152" s="13" t="str">
        <f aca="false">IF($G152="","",IFERROR(INDEX(AHSP!$I$4:$I$43,MATCH(G152,AHSP!$B$4:$B$43,0)),""))</f>
        <v/>
      </c>
    </row>
    <row r="153" customFormat="false" ht="15" hidden="false" customHeight="false" outlineLevel="0" collapsed="false">
      <c r="A153" s="16"/>
      <c r="B153" s="16"/>
      <c r="C153" s="16"/>
      <c r="D153" s="29"/>
      <c r="E153" s="17"/>
      <c r="F153" s="13" t="str">
        <f aca="false">IF($A153="","",D153*E153)</f>
        <v/>
      </c>
      <c r="G153" s="16"/>
      <c r="H153" s="13" t="str">
        <f aca="false">IF($G153="","",IFERROR(INDEX(AHSP!$I$4:$I$43,MATCH(G153,AHSP!$B$4:$B$43,0)),""))</f>
        <v/>
      </c>
    </row>
    <row r="154" customFormat="false" ht="15" hidden="false" customHeight="false" outlineLevel="0" collapsed="false">
      <c r="A154" s="16"/>
      <c r="B154" s="16"/>
      <c r="C154" s="16"/>
      <c r="D154" s="29"/>
      <c r="E154" s="17"/>
      <c r="F154" s="13" t="str">
        <f aca="false">IF($A154="","",D154*E154)</f>
        <v/>
      </c>
      <c r="G154" s="16"/>
      <c r="H154" s="13" t="str">
        <f aca="false">IF($G154="","",IFERROR(INDEX(AHSP!$I$4:$I$43,MATCH(G154,AHSP!$B$4:$B$43,0)),""))</f>
        <v/>
      </c>
    </row>
    <row r="155" customFormat="false" ht="15" hidden="false" customHeight="false" outlineLevel="0" collapsed="false">
      <c r="A155" s="16"/>
      <c r="B155" s="16"/>
      <c r="C155" s="16"/>
      <c r="D155" s="29"/>
      <c r="E155" s="17"/>
      <c r="F155" s="13" t="str">
        <f aca="false">IF($A155="","",D155*E155)</f>
        <v/>
      </c>
      <c r="G155" s="16"/>
      <c r="H155" s="13" t="str">
        <f aca="false">IF($G155="","",IFERROR(INDEX(AHSP!$I$4:$I$43,MATCH(G155,AHSP!$B$4:$B$43,0)),""))</f>
        <v/>
      </c>
    </row>
    <row r="156" customFormat="false" ht="15" hidden="false" customHeight="false" outlineLevel="0" collapsed="false">
      <c r="A156" s="16"/>
      <c r="B156" s="16"/>
      <c r="C156" s="16"/>
      <c r="D156" s="29"/>
      <c r="E156" s="17"/>
      <c r="F156" s="13" t="str">
        <f aca="false">IF($A156="","",D156*E156)</f>
        <v/>
      </c>
      <c r="G156" s="16"/>
      <c r="H156" s="13" t="str">
        <f aca="false">IF($G156="","",IFERROR(INDEX(AHSP!$I$4:$I$43,MATCH(G156,AHSP!$B$4:$B$43,0)),""))</f>
        <v/>
      </c>
    </row>
    <row r="157" customFormat="false" ht="15" hidden="false" customHeight="false" outlineLevel="0" collapsed="false">
      <c r="A157" s="16"/>
      <c r="B157" s="16"/>
      <c r="C157" s="16"/>
      <c r="D157" s="29"/>
      <c r="E157" s="17"/>
      <c r="F157" s="13" t="str">
        <f aca="false">IF($A157="","",D157*E157)</f>
        <v/>
      </c>
      <c r="G157" s="16"/>
      <c r="H157" s="13" t="str">
        <f aca="false">IF($G157="","",IFERROR(INDEX(AHSP!$I$4:$I$43,MATCH(G157,AHSP!$B$4:$B$43,0)),""))</f>
        <v/>
      </c>
    </row>
  </sheetData>
  <dataValidations count="3">
    <dataValidation allowBlank="true" errorStyle="stop" operator="between" showDropDown="false" showErrorMessage="false" showInputMessage="false" sqref="A8:A157" type="list">
      <formula1>RAB!$A$4:$A$33</formula1>
      <formula2>0</formula2>
    </dataValidation>
    <dataValidation allowBlank="true" errorStyle="stop" operator="between" showDropDown="false" showErrorMessage="false" showInputMessage="false" sqref="C8:C157" type="list">
      <formula1>Data!$G$2:$G$12</formula1>
      <formula2>0</formula2>
    </dataValidation>
    <dataValidation allowBlank="true" errorStyle="stop" operator="between" showDropDown="false" showErrorMessage="false" showInputMessage="false" sqref="G8:G157" type="list">
      <formula1>AHSP!$B$4:$B$43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78D6"/>
    <pageSetUpPr fitToPage="false"/>
  </sheetPr>
  <dimension ref="A1:S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3"/>
    <col collapsed="false" customWidth="true" hidden="false" outlineLevel="0" max="3" min="3" style="0" width="26"/>
    <col collapsed="false" customWidth="true" hidden="false" outlineLevel="0" max="4" min="4" style="0" width="30"/>
    <col collapsed="false" customWidth="true" hidden="false" outlineLevel="0" max="5" min="5" style="0" width="34"/>
    <col collapsed="false" customWidth="true" hidden="false" outlineLevel="0" max="6" min="6" style="0" width="16"/>
    <col collapsed="false" customWidth="true" hidden="false" outlineLevel="0" max="7" min="7" style="0" width="11"/>
    <col collapsed="false" customWidth="true" hidden="false" outlineLevel="0" max="8" min="8" style="0" width="14"/>
    <col collapsed="false" customWidth="true" hidden="false" outlineLevel="0" max="9" min="9" style="0" width="8"/>
    <col collapsed="false" customWidth="true" hidden="false" outlineLevel="0" max="10" min="10" style="0" width="13"/>
    <col collapsed="false" customWidth="true" hidden="false" outlineLevel="0" max="11" min="11" style="0" width="8"/>
    <col collapsed="false" customWidth="true" hidden="false" outlineLevel="0" max="12" min="12" style="0" width="13"/>
    <col collapsed="false" customWidth="true" hidden="false" outlineLevel="0" max="13" min="13" style="0" width="8"/>
    <col collapsed="false" customWidth="true" hidden="false" outlineLevel="0" max="14" min="14" style="0" width="13"/>
    <col collapsed="false" customWidth="true" hidden="false" outlineLevel="0" max="15" min="15" style="0" width="15"/>
    <col collapsed="false" customWidth="true" hidden="false" outlineLevel="0" max="17" min="16" style="0" width="34"/>
    <col collapsed="false" customWidth="true" hidden="false" outlineLevel="0" max="19" min="18" style="0" width="18"/>
  </cols>
  <sheetData>
    <row r="1" customFormat="false" ht="19.7" hidden="false" customHeight="false" outlineLevel="0" collapsed="false">
      <c r="A1" s="1" t="s">
        <v>257</v>
      </c>
    </row>
    <row r="2" customFormat="false" ht="15" hidden="false" customHeight="false" outlineLevel="0" collapsed="false">
      <c r="A2" s="2" t="s">
        <v>258</v>
      </c>
    </row>
    <row r="3" customFormat="false" ht="27.75" hidden="false" customHeight="true" outlineLevel="0" collapsed="false">
      <c r="A3" s="9" t="s">
        <v>259</v>
      </c>
      <c r="B3" s="10" t="s">
        <v>13</v>
      </c>
      <c r="C3" s="10" t="s">
        <v>260</v>
      </c>
      <c r="D3" s="10" t="s">
        <v>261</v>
      </c>
      <c r="E3" s="10" t="s">
        <v>262</v>
      </c>
      <c r="F3" s="10" t="s">
        <v>6</v>
      </c>
      <c r="G3" s="10" t="s">
        <v>26</v>
      </c>
      <c r="H3" s="10" t="s">
        <v>246</v>
      </c>
      <c r="I3" s="10" t="s">
        <v>263</v>
      </c>
      <c r="J3" s="10" t="s">
        <v>264</v>
      </c>
      <c r="K3" s="10" t="s">
        <v>247</v>
      </c>
      <c r="L3" s="10" t="s">
        <v>248</v>
      </c>
      <c r="M3" s="10" t="s">
        <v>249</v>
      </c>
      <c r="N3" s="10" t="s">
        <v>250</v>
      </c>
      <c r="O3" s="10" t="s">
        <v>265</v>
      </c>
      <c r="P3" s="10" t="s">
        <v>266</v>
      </c>
      <c r="Q3" s="10" t="s">
        <v>267</v>
      </c>
      <c r="R3" s="10" t="s">
        <v>268</v>
      </c>
      <c r="S3" s="10" t="s">
        <v>269</v>
      </c>
    </row>
    <row r="4" customFormat="false" ht="15" hidden="false" customHeight="false" outlineLevel="0" collapsed="false">
      <c r="A4" s="16"/>
      <c r="B4" s="15"/>
      <c r="C4" s="16"/>
      <c r="D4" s="16"/>
      <c r="E4" s="16"/>
      <c r="F4" s="16"/>
      <c r="G4" s="16"/>
      <c r="H4" s="13" t="str">
        <f aca="false">IF($A4="","",SUMIFS('Penawaran - Item'!$F$8:$F$157,'Penawaran - Item'!$A$8:$A$157,A4))</f>
        <v/>
      </c>
      <c r="I4" s="21"/>
      <c r="J4" s="13" t="str">
        <f aca="false">IF($A4="","",H4*I4)</f>
        <v/>
      </c>
      <c r="K4" s="21"/>
      <c r="L4" s="13" t="str">
        <f aca="false">IF($A4="","",(H4-J4)*K4)</f>
        <v/>
      </c>
      <c r="M4" s="21"/>
      <c r="N4" s="13" t="str">
        <f aca="false">IF($A4="","",(H4-J4)*M4)</f>
        <v/>
      </c>
      <c r="O4" s="13" t="str">
        <f aca="false">IF($A4="","",H4-J4+L4+N4)</f>
        <v/>
      </c>
      <c r="P4" s="16"/>
      <c r="Q4" s="16"/>
      <c r="R4" s="12" t="str">
        <f aca="false">IF($A4="","",OwnerName)</f>
        <v/>
      </c>
      <c r="S4" s="12" t="str">
        <f aca="false">IF($A4="","",OwnerJabatan)</f>
        <v/>
      </c>
    </row>
    <row r="5" customFormat="false" ht="15" hidden="false" customHeight="false" outlineLevel="0" collapsed="false">
      <c r="A5" s="16"/>
      <c r="B5" s="15"/>
      <c r="C5" s="16"/>
      <c r="D5" s="16"/>
      <c r="E5" s="16"/>
      <c r="F5" s="16"/>
      <c r="G5" s="16"/>
      <c r="H5" s="13" t="str">
        <f aca="false">IF($A5="","",SUMIFS('Penawaran - Item'!$F$8:$F$157,'Penawaran - Item'!$A$8:$A$157,A5))</f>
        <v/>
      </c>
      <c r="I5" s="21"/>
      <c r="J5" s="13" t="str">
        <f aca="false">IF($A5="","",H5*I5)</f>
        <v/>
      </c>
      <c r="K5" s="21"/>
      <c r="L5" s="13" t="str">
        <f aca="false">IF($A5="","",(H5-J5)*K5)</f>
        <v/>
      </c>
      <c r="M5" s="21"/>
      <c r="N5" s="13" t="str">
        <f aca="false">IF($A5="","",(H5-J5)*M5)</f>
        <v/>
      </c>
      <c r="O5" s="13" t="str">
        <f aca="false">IF($A5="","",H5-J5+L5+N5)</f>
        <v/>
      </c>
      <c r="P5" s="16"/>
      <c r="Q5" s="16"/>
      <c r="R5" s="12" t="str">
        <f aca="false">IF($A5="","",OwnerName)</f>
        <v/>
      </c>
      <c r="S5" s="12" t="str">
        <f aca="false">IF($A5="","",OwnerJabatan)</f>
        <v/>
      </c>
    </row>
    <row r="6" customFormat="false" ht="15" hidden="false" customHeight="false" outlineLevel="0" collapsed="false">
      <c r="A6" s="16"/>
      <c r="B6" s="15"/>
      <c r="C6" s="16"/>
      <c r="D6" s="16"/>
      <c r="E6" s="16"/>
      <c r="F6" s="16"/>
      <c r="G6" s="16"/>
      <c r="H6" s="13" t="str">
        <f aca="false">IF($A6="","",SUMIFS('Penawaran - Item'!$F$8:$F$157,'Penawaran - Item'!$A$8:$A$157,A6))</f>
        <v/>
      </c>
      <c r="I6" s="21"/>
      <c r="J6" s="13" t="str">
        <f aca="false">IF($A6="","",H6*I6)</f>
        <v/>
      </c>
      <c r="K6" s="21"/>
      <c r="L6" s="13" t="str">
        <f aca="false">IF($A6="","",(H6-J6)*K6)</f>
        <v/>
      </c>
      <c r="M6" s="21"/>
      <c r="N6" s="13" t="str">
        <f aca="false">IF($A6="","",(H6-J6)*M6)</f>
        <v/>
      </c>
      <c r="O6" s="13" t="str">
        <f aca="false">IF($A6="","",H6-J6+L6+N6)</f>
        <v/>
      </c>
      <c r="P6" s="16"/>
      <c r="Q6" s="16"/>
      <c r="R6" s="12" t="str">
        <f aca="false">IF($A6="","",OwnerName)</f>
        <v/>
      </c>
      <c r="S6" s="12" t="str">
        <f aca="false">IF($A6="","",OwnerJabatan)</f>
        <v/>
      </c>
    </row>
    <row r="7" customFormat="false" ht="15" hidden="false" customHeight="false" outlineLevel="0" collapsed="false">
      <c r="A7" s="16"/>
      <c r="B7" s="15"/>
      <c r="C7" s="16"/>
      <c r="D7" s="16"/>
      <c r="E7" s="16"/>
      <c r="F7" s="16"/>
      <c r="G7" s="16"/>
      <c r="H7" s="13" t="str">
        <f aca="false">IF($A7="","",SUMIFS('Penawaran - Item'!$F$8:$F$157,'Penawaran - Item'!$A$8:$A$157,A7))</f>
        <v/>
      </c>
      <c r="I7" s="21"/>
      <c r="J7" s="13" t="str">
        <f aca="false">IF($A7="","",H7*I7)</f>
        <v/>
      </c>
      <c r="K7" s="21"/>
      <c r="L7" s="13" t="str">
        <f aca="false">IF($A7="","",(H7-J7)*K7)</f>
        <v/>
      </c>
      <c r="M7" s="21"/>
      <c r="N7" s="13" t="str">
        <f aca="false">IF($A7="","",(H7-J7)*M7)</f>
        <v/>
      </c>
      <c r="O7" s="13" t="str">
        <f aca="false">IF($A7="","",H7-J7+L7+N7)</f>
        <v/>
      </c>
      <c r="P7" s="16"/>
      <c r="Q7" s="16"/>
      <c r="R7" s="12" t="str">
        <f aca="false">IF($A7="","",OwnerName)</f>
        <v/>
      </c>
      <c r="S7" s="12" t="str">
        <f aca="false">IF($A7="","",OwnerJabatan)</f>
        <v/>
      </c>
    </row>
    <row r="8" customFormat="false" ht="15" hidden="false" customHeight="false" outlineLevel="0" collapsed="false">
      <c r="A8" s="16"/>
      <c r="B8" s="15"/>
      <c r="C8" s="16"/>
      <c r="D8" s="16"/>
      <c r="E8" s="16"/>
      <c r="F8" s="16"/>
      <c r="G8" s="16"/>
      <c r="H8" s="13" t="str">
        <f aca="false">IF($A8="","",SUMIFS('Penawaran - Item'!$F$8:$F$157,'Penawaran - Item'!$A$8:$A$157,A8))</f>
        <v/>
      </c>
      <c r="I8" s="21"/>
      <c r="J8" s="13" t="str">
        <f aca="false">IF($A8="","",H8*I8)</f>
        <v/>
      </c>
      <c r="K8" s="21"/>
      <c r="L8" s="13" t="str">
        <f aca="false">IF($A8="","",(H8-J8)*K8)</f>
        <v/>
      </c>
      <c r="M8" s="21"/>
      <c r="N8" s="13" t="str">
        <f aca="false">IF($A8="","",(H8-J8)*M8)</f>
        <v/>
      </c>
      <c r="O8" s="13" t="str">
        <f aca="false">IF($A8="","",H8-J8+L8+N8)</f>
        <v/>
      </c>
      <c r="P8" s="16"/>
      <c r="Q8" s="16"/>
      <c r="R8" s="12" t="str">
        <f aca="false">IF($A8="","",OwnerName)</f>
        <v/>
      </c>
      <c r="S8" s="12" t="str">
        <f aca="false">IF($A8="","",OwnerJabatan)</f>
        <v/>
      </c>
    </row>
    <row r="9" customFormat="false" ht="15" hidden="false" customHeight="false" outlineLevel="0" collapsed="false">
      <c r="A9" s="16"/>
      <c r="B9" s="15"/>
      <c r="C9" s="16"/>
      <c r="D9" s="16"/>
      <c r="E9" s="16"/>
      <c r="F9" s="16"/>
      <c r="G9" s="16"/>
      <c r="H9" s="13" t="str">
        <f aca="false">IF($A9="","",SUMIFS('Penawaran - Item'!$F$8:$F$157,'Penawaran - Item'!$A$8:$A$157,A9))</f>
        <v/>
      </c>
      <c r="I9" s="21"/>
      <c r="J9" s="13" t="str">
        <f aca="false">IF($A9="","",H9*I9)</f>
        <v/>
      </c>
      <c r="K9" s="21"/>
      <c r="L9" s="13" t="str">
        <f aca="false">IF($A9="","",(H9-J9)*K9)</f>
        <v/>
      </c>
      <c r="M9" s="21"/>
      <c r="N9" s="13" t="str">
        <f aca="false">IF($A9="","",(H9-J9)*M9)</f>
        <v/>
      </c>
      <c r="O9" s="13" t="str">
        <f aca="false">IF($A9="","",H9-J9+L9+N9)</f>
        <v/>
      </c>
      <c r="P9" s="16"/>
      <c r="Q9" s="16"/>
      <c r="R9" s="12" t="str">
        <f aca="false">IF($A9="","",OwnerName)</f>
        <v/>
      </c>
      <c r="S9" s="12" t="str">
        <f aca="false">IF($A9="","",OwnerJabatan)</f>
        <v/>
      </c>
    </row>
    <row r="10" customFormat="false" ht="15" hidden="false" customHeight="false" outlineLevel="0" collapsed="false">
      <c r="A10" s="16"/>
      <c r="B10" s="15"/>
      <c r="C10" s="16"/>
      <c r="D10" s="16"/>
      <c r="E10" s="16"/>
      <c r="F10" s="16"/>
      <c r="G10" s="16"/>
      <c r="H10" s="13" t="str">
        <f aca="false">IF($A10="","",SUMIFS('Penawaran - Item'!$F$8:$F$157,'Penawaran - Item'!$A$8:$A$157,A10))</f>
        <v/>
      </c>
      <c r="I10" s="21"/>
      <c r="J10" s="13" t="str">
        <f aca="false">IF($A10="","",H10*I10)</f>
        <v/>
      </c>
      <c r="K10" s="21"/>
      <c r="L10" s="13" t="str">
        <f aca="false">IF($A10="","",(H10-J10)*K10)</f>
        <v/>
      </c>
      <c r="M10" s="21"/>
      <c r="N10" s="13" t="str">
        <f aca="false">IF($A10="","",(H10-J10)*M10)</f>
        <v/>
      </c>
      <c r="O10" s="13" t="str">
        <f aca="false">IF($A10="","",H10-J10+L10+N10)</f>
        <v/>
      </c>
      <c r="P10" s="16"/>
      <c r="Q10" s="16"/>
      <c r="R10" s="12" t="str">
        <f aca="false">IF($A10="","",OwnerName)</f>
        <v/>
      </c>
      <c r="S10" s="12" t="str">
        <f aca="false">IF($A10="","",OwnerJabatan)</f>
        <v/>
      </c>
    </row>
    <row r="11" customFormat="false" ht="15" hidden="false" customHeight="false" outlineLevel="0" collapsed="false">
      <c r="A11" s="16"/>
      <c r="B11" s="15"/>
      <c r="C11" s="16"/>
      <c r="D11" s="16"/>
      <c r="E11" s="16"/>
      <c r="F11" s="16"/>
      <c r="G11" s="16"/>
      <c r="H11" s="13" t="str">
        <f aca="false">IF($A11="","",SUMIFS('Penawaran - Item'!$F$8:$F$157,'Penawaran - Item'!$A$8:$A$157,A11))</f>
        <v/>
      </c>
      <c r="I11" s="21"/>
      <c r="J11" s="13" t="str">
        <f aca="false">IF($A11="","",H11*I11)</f>
        <v/>
      </c>
      <c r="K11" s="21"/>
      <c r="L11" s="13" t="str">
        <f aca="false">IF($A11="","",(H11-J11)*K11)</f>
        <v/>
      </c>
      <c r="M11" s="21"/>
      <c r="N11" s="13" t="str">
        <f aca="false">IF($A11="","",(H11-J11)*M11)</f>
        <v/>
      </c>
      <c r="O11" s="13" t="str">
        <f aca="false">IF($A11="","",H11-J11+L11+N11)</f>
        <v/>
      </c>
      <c r="P11" s="16"/>
      <c r="Q11" s="16"/>
      <c r="R11" s="12" t="str">
        <f aca="false">IF($A11="","",OwnerName)</f>
        <v/>
      </c>
      <c r="S11" s="12" t="str">
        <f aca="false">IF($A11="","",OwnerJabatan)</f>
        <v/>
      </c>
    </row>
    <row r="12" customFormat="false" ht="15" hidden="false" customHeight="false" outlineLevel="0" collapsed="false">
      <c r="A12" s="16"/>
      <c r="B12" s="15"/>
      <c r="C12" s="16"/>
      <c r="D12" s="16"/>
      <c r="E12" s="16"/>
      <c r="F12" s="16"/>
      <c r="G12" s="16"/>
      <c r="H12" s="13" t="str">
        <f aca="false">IF($A12="","",SUMIFS('Penawaran - Item'!$F$8:$F$157,'Penawaran - Item'!$A$8:$A$157,A12))</f>
        <v/>
      </c>
      <c r="I12" s="21"/>
      <c r="J12" s="13" t="str">
        <f aca="false">IF($A12="","",H12*I12)</f>
        <v/>
      </c>
      <c r="K12" s="21"/>
      <c r="L12" s="13" t="str">
        <f aca="false">IF($A12="","",(H12-J12)*K12)</f>
        <v/>
      </c>
      <c r="M12" s="21"/>
      <c r="N12" s="13" t="str">
        <f aca="false">IF($A12="","",(H12-J12)*M12)</f>
        <v/>
      </c>
      <c r="O12" s="13" t="str">
        <f aca="false">IF($A12="","",H12-J12+L12+N12)</f>
        <v/>
      </c>
      <c r="P12" s="16"/>
      <c r="Q12" s="16"/>
      <c r="R12" s="12" t="str">
        <f aca="false">IF($A12="","",OwnerName)</f>
        <v/>
      </c>
      <c r="S12" s="12" t="str">
        <f aca="false">IF($A12="","",OwnerJabatan)</f>
        <v/>
      </c>
    </row>
    <row r="13" customFormat="false" ht="15" hidden="false" customHeight="false" outlineLevel="0" collapsed="false">
      <c r="A13" s="16"/>
      <c r="B13" s="15"/>
      <c r="C13" s="16"/>
      <c r="D13" s="16"/>
      <c r="E13" s="16"/>
      <c r="F13" s="16"/>
      <c r="G13" s="16"/>
      <c r="H13" s="13" t="str">
        <f aca="false">IF($A13="","",SUMIFS('Penawaran - Item'!$F$8:$F$157,'Penawaran - Item'!$A$8:$A$157,A13))</f>
        <v/>
      </c>
      <c r="I13" s="21"/>
      <c r="J13" s="13" t="str">
        <f aca="false">IF($A13="","",H13*I13)</f>
        <v/>
      </c>
      <c r="K13" s="21"/>
      <c r="L13" s="13" t="str">
        <f aca="false">IF($A13="","",(H13-J13)*K13)</f>
        <v/>
      </c>
      <c r="M13" s="21"/>
      <c r="N13" s="13" t="str">
        <f aca="false">IF($A13="","",(H13-J13)*M13)</f>
        <v/>
      </c>
      <c r="O13" s="13" t="str">
        <f aca="false">IF($A13="","",H13-J13+L13+N13)</f>
        <v/>
      </c>
      <c r="P13" s="16"/>
      <c r="Q13" s="16"/>
      <c r="R13" s="12" t="str">
        <f aca="false">IF($A13="","",OwnerName)</f>
        <v/>
      </c>
      <c r="S13" s="12" t="str">
        <f aca="false">IF($A13="","",OwnerJabatan)</f>
        <v/>
      </c>
    </row>
    <row r="14" customFormat="false" ht="15" hidden="false" customHeight="false" outlineLevel="0" collapsed="false">
      <c r="A14" s="16"/>
      <c r="B14" s="15"/>
      <c r="C14" s="16"/>
      <c r="D14" s="16"/>
      <c r="E14" s="16"/>
      <c r="F14" s="16"/>
      <c r="G14" s="16"/>
      <c r="H14" s="13" t="str">
        <f aca="false">IF($A14="","",SUMIFS('Penawaran - Item'!$F$8:$F$157,'Penawaran - Item'!$A$8:$A$157,A14))</f>
        <v/>
      </c>
      <c r="I14" s="21"/>
      <c r="J14" s="13" t="str">
        <f aca="false">IF($A14="","",H14*I14)</f>
        <v/>
      </c>
      <c r="K14" s="21"/>
      <c r="L14" s="13" t="str">
        <f aca="false">IF($A14="","",(H14-J14)*K14)</f>
        <v/>
      </c>
      <c r="M14" s="21"/>
      <c r="N14" s="13" t="str">
        <f aca="false">IF($A14="","",(H14-J14)*M14)</f>
        <v/>
      </c>
      <c r="O14" s="13" t="str">
        <f aca="false">IF($A14="","",H14-J14+L14+N14)</f>
        <v/>
      </c>
      <c r="P14" s="16"/>
      <c r="Q14" s="16"/>
      <c r="R14" s="12" t="str">
        <f aca="false">IF($A14="","",OwnerName)</f>
        <v/>
      </c>
      <c r="S14" s="12" t="str">
        <f aca="false">IF($A14="","",OwnerJabatan)</f>
        <v/>
      </c>
    </row>
    <row r="15" customFormat="false" ht="15" hidden="false" customHeight="false" outlineLevel="0" collapsed="false">
      <c r="A15" s="16"/>
      <c r="B15" s="15"/>
      <c r="C15" s="16"/>
      <c r="D15" s="16"/>
      <c r="E15" s="16"/>
      <c r="F15" s="16"/>
      <c r="G15" s="16"/>
      <c r="H15" s="13" t="str">
        <f aca="false">IF($A15="","",SUMIFS('Penawaran - Item'!$F$8:$F$157,'Penawaran - Item'!$A$8:$A$157,A15))</f>
        <v/>
      </c>
      <c r="I15" s="21"/>
      <c r="J15" s="13" t="str">
        <f aca="false">IF($A15="","",H15*I15)</f>
        <v/>
      </c>
      <c r="K15" s="21"/>
      <c r="L15" s="13" t="str">
        <f aca="false">IF($A15="","",(H15-J15)*K15)</f>
        <v/>
      </c>
      <c r="M15" s="21"/>
      <c r="N15" s="13" t="str">
        <f aca="false">IF($A15="","",(H15-J15)*M15)</f>
        <v/>
      </c>
      <c r="O15" s="13" t="str">
        <f aca="false">IF($A15="","",H15-J15+L15+N15)</f>
        <v/>
      </c>
      <c r="P15" s="16"/>
      <c r="Q15" s="16"/>
      <c r="R15" s="12" t="str">
        <f aca="false">IF($A15="","",OwnerName)</f>
        <v/>
      </c>
      <c r="S15" s="12" t="str">
        <f aca="false">IF($A15="","",OwnerJabatan)</f>
        <v/>
      </c>
    </row>
    <row r="16" customFormat="false" ht="15" hidden="false" customHeight="false" outlineLevel="0" collapsed="false">
      <c r="A16" s="16"/>
      <c r="B16" s="15"/>
      <c r="C16" s="16"/>
      <c r="D16" s="16"/>
      <c r="E16" s="16"/>
      <c r="F16" s="16"/>
      <c r="G16" s="16"/>
      <c r="H16" s="13" t="str">
        <f aca="false">IF($A16="","",SUMIFS('Penawaran - Item'!$F$8:$F$157,'Penawaran - Item'!$A$8:$A$157,A16))</f>
        <v/>
      </c>
      <c r="I16" s="21"/>
      <c r="J16" s="13" t="str">
        <f aca="false">IF($A16="","",H16*I16)</f>
        <v/>
      </c>
      <c r="K16" s="21"/>
      <c r="L16" s="13" t="str">
        <f aca="false">IF($A16="","",(H16-J16)*K16)</f>
        <v/>
      </c>
      <c r="M16" s="21"/>
      <c r="N16" s="13" t="str">
        <f aca="false">IF($A16="","",(H16-J16)*M16)</f>
        <v/>
      </c>
      <c r="O16" s="13" t="str">
        <f aca="false">IF($A16="","",H16-J16+L16+N16)</f>
        <v/>
      </c>
      <c r="P16" s="16"/>
      <c r="Q16" s="16"/>
      <c r="R16" s="12" t="str">
        <f aca="false">IF($A16="","",OwnerName)</f>
        <v/>
      </c>
      <c r="S16" s="12" t="str">
        <f aca="false">IF($A16="","",OwnerJabatan)</f>
        <v/>
      </c>
    </row>
    <row r="17" customFormat="false" ht="15" hidden="false" customHeight="false" outlineLevel="0" collapsed="false">
      <c r="A17" s="16"/>
      <c r="B17" s="15"/>
      <c r="C17" s="16"/>
      <c r="D17" s="16"/>
      <c r="E17" s="16"/>
      <c r="F17" s="16"/>
      <c r="G17" s="16"/>
      <c r="H17" s="13" t="str">
        <f aca="false">IF($A17="","",SUMIFS('Penawaran - Item'!$F$8:$F$157,'Penawaran - Item'!$A$8:$A$157,A17))</f>
        <v/>
      </c>
      <c r="I17" s="21"/>
      <c r="J17" s="13" t="str">
        <f aca="false">IF($A17="","",H17*I17)</f>
        <v/>
      </c>
      <c r="K17" s="21"/>
      <c r="L17" s="13" t="str">
        <f aca="false">IF($A17="","",(H17-J17)*K17)</f>
        <v/>
      </c>
      <c r="M17" s="21"/>
      <c r="N17" s="13" t="str">
        <f aca="false">IF($A17="","",(H17-J17)*M17)</f>
        <v/>
      </c>
      <c r="O17" s="13" t="str">
        <f aca="false">IF($A17="","",H17-J17+L17+N17)</f>
        <v/>
      </c>
      <c r="P17" s="16"/>
      <c r="Q17" s="16"/>
      <c r="R17" s="12" t="str">
        <f aca="false">IF($A17="","",OwnerName)</f>
        <v/>
      </c>
      <c r="S17" s="12" t="str">
        <f aca="false">IF($A17="","",OwnerJabatan)</f>
        <v/>
      </c>
    </row>
    <row r="18" customFormat="false" ht="15" hidden="false" customHeight="false" outlineLevel="0" collapsed="false">
      <c r="A18" s="16"/>
      <c r="B18" s="15"/>
      <c r="C18" s="16"/>
      <c r="D18" s="16"/>
      <c r="E18" s="16"/>
      <c r="F18" s="16"/>
      <c r="G18" s="16"/>
      <c r="H18" s="13" t="str">
        <f aca="false">IF($A18="","",SUMIFS('Penawaran - Item'!$F$8:$F$157,'Penawaran - Item'!$A$8:$A$157,A18))</f>
        <v/>
      </c>
      <c r="I18" s="21"/>
      <c r="J18" s="13" t="str">
        <f aca="false">IF($A18="","",H18*I18)</f>
        <v/>
      </c>
      <c r="K18" s="21"/>
      <c r="L18" s="13" t="str">
        <f aca="false">IF($A18="","",(H18-J18)*K18)</f>
        <v/>
      </c>
      <c r="M18" s="21"/>
      <c r="N18" s="13" t="str">
        <f aca="false">IF($A18="","",(H18-J18)*M18)</f>
        <v/>
      </c>
      <c r="O18" s="13" t="str">
        <f aca="false">IF($A18="","",H18-J18+L18+N18)</f>
        <v/>
      </c>
      <c r="P18" s="16"/>
      <c r="Q18" s="16"/>
      <c r="R18" s="12" t="str">
        <f aca="false">IF($A18="","",OwnerName)</f>
        <v/>
      </c>
      <c r="S18" s="12" t="str">
        <f aca="false">IF($A18="","",OwnerJabatan)</f>
        <v/>
      </c>
    </row>
    <row r="19" customFormat="false" ht="15" hidden="false" customHeight="false" outlineLevel="0" collapsed="false">
      <c r="A19" s="16"/>
      <c r="B19" s="15"/>
      <c r="C19" s="16"/>
      <c r="D19" s="16"/>
      <c r="E19" s="16"/>
      <c r="F19" s="16"/>
      <c r="G19" s="16"/>
      <c r="H19" s="13" t="str">
        <f aca="false">IF($A19="","",SUMIFS('Penawaran - Item'!$F$8:$F$157,'Penawaran - Item'!$A$8:$A$157,A19))</f>
        <v/>
      </c>
      <c r="I19" s="21"/>
      <c r="J19" s="13" t="str">
        <f aca="false">IF($A19="","",H19*I19)</f>
        <v/>
      </c>
      <c r="K19" s="21"/>
      <c r="L19" s="13" t="str">
        <f aca="false">IF($A19="","",(H19-J19)*K19)</f>
        <v/>
      </c>
      <c r="M19" s="21"/>
      <c r="N19" s="13" t="str">
        <f aca="false">IF($A19="","",(H19-J19)*M19)</f>
        <v/>
      </c>
      <c r="O19" s="13" t="str">
        <f aca="false">IF($A19="","",H19-J19+L19+N19)</f>
        <v/>
      </c>
      <c r="P19" s="16"/>
      <c r="Q19" s="16"/>
      <c r="R19" s="12" t="str">
        <f aca="false">IF($A19="","",OwnerName)</f>
        <v/>
      </c>
      <c r="S19" s="12" t="str">
        <f aca="false">IF($A19="","",OwnerJabatan)</f>
        <v/>
      </c>
    </row>
    <row r="20" customFormat="false" ht="15" hidden="false" customHeight="false" outlineLevel="0" collapsed="false">
      <c r="A20" s="16"/>
      <c r="B20" s="15"/>
      <c r="C20" s="16"/>
      <c r="D20" s="16"/>
      <c r="E20" s="16"/>
      <c r="F20" s="16"/>
      <c r="G20" s="16"/>
      <c r="H20" s="13" t="str">
        <f aca="false">IF($A20="","",SUMIFS('Penawaran - Item'!$F$8:$F$157,'Penawaran - Item'!$A$8:$A$157,A20))</f>
        <v/>
      </c>
      <c r="I20" s="21"/>
      <c r="J20" s="13" t="str">
        <f aca="false">IF($A20="","",H20*I20)</f>
        <v/>
      </c>
      <c r="K20" s="21"/>
      <c r="L20" s="13" t="str">
        <f aca="false">IF($A20="","",(H20-J20)*K20)</f>
        <v/>
      </c>
      <c r="M20" s="21"/>
      <c r="N20" s="13" t="str">
        <f aca="false">IF($A20="","",(H20-J20)*M20)</f>
        <v/>
      </c>
      <c r="O20" s="13" t="str">
        <f aca="false">IF($A20="","",H20-J20+L20+N20)</f>
        <v/>
      </c>
      <c r="P20" s="16"/>
      <c r="Q20" s="16"/>
      <c r="R20" s="12" t="str">
        <f aca="false">IF($A20="","",OwnerName)</f>
        <v/>
      </c>
      <c r="S20" s="12" t="str">
        <f aca="false">IF($A20="","",OwnerJabatan)</f>
        <v/>
      </c>
    </row>
    <row r="21" customFormat="false" ht="15" hidden="false" customHeight="false" outlineLevel="0" collapsed="false">
      <c r="A21" s="16"/>
      <c r="B21" s="15"/>
      <c r="C21" s="16"/>
      <c r="D21" s="16"/>
      <c r="E21" s="16"/>
      <c r="F21" s="16"/>
      <c r="G21" s="16"/>
      <c r="H21" s="13" t="str">
        <f aca="false">IF($A21="","",SUMIFS('Penawaran - Item'!$F$8:$F$157,'Penawaran - Item'!$A$8:$A$157,A21))</f>
        <v/>
      </c>
      <c r="I21" s="21"/>
      <c r="J21" s="13" t="str">
        <f aca="false">IF($A21="","",H21*I21)</f>
        <v/>
      </c>
      <c r="K21" s="21"/>
      <c r="L21" s="13" t="str">
        <f aca="false">IF($A21="","",(H21-J21)*K21)</f>
        <v/>
      </c>
      <c r="M21" s="21"/>
      <c r="N21" s="13" t="str">
        <f aca="false">IF($A21="","",(H21-J21)*M21)</f>
        <v/>
      </c>
      <c r="O21" s="13" t="str">
        <f aca="false">IF($A21="","",H21-J21+L21+N21)</f>
        <v/>
      </c>
      <c r="P21" s="16"/>
      <c r="Q21" s="16"/>
      <c r="R21" s="12" t="str">
        <f aca="false">IF($A21="","",OwnerName)</f>
        <v/>
      </c>
      <c r="S21" s="12" t="str">
        <f aca="false">IF($A21="","",OwnerJabatan)</f>
        <v/>
      </c>
    </row>
    <row r="22" customFormat="false" ht="15" hidden="false" customHeight="false" outlineLevel="0" collapsed="false">
      <c r="A22" s="16"/>
      <c r="B22" s="15"/>
      <c r="C22" s="16"/>
      <c r="D22" s="16"/>
      <c r="E22" s="16"/>
      <c r="F22" s="16"/>
      <c r="G22" s="16"/>
      <c r="H22" s="13" t="str">
        <f aca="false">IF($A22="","",SUMIFS('Penawaran - Item'!$F$8:$F$157,'Penawaran - Item'!$A$8:$A$157,A22))</f>
        <v/>
      </c>
      <c r="I22" s="21"/>
      <c r="J22" s="13" t="str">
        <f aca="false">IF($A22="","",H22*I22)</f>
        <v/>
      </c>
      <c r="K22" s="21"/>
      <c r="L22" s="13" t="str">
        <f aca="false">IF($A22="","",(H22-J22)*K22)</f>
        <v/>
      </c>
      <c r="M22" s="21"/>
      <c r="N22" s="13" t="str">
        <f aca="false">IF($A22="","",(H22-J22)*M22)</f>
        <v/>
      </c>
      <c r="O22" s="13" t="str">
        <f aca="false">IF($A22="","",H22-J22+L22+N22)</f>
        <v/>
      </c>
      <c r="P22" s="16"/>
      <c r="Q22" s="16"/>
      <c r="R22" s="12" t="str">
        <f aca="false">IF($A22="","",OwnerName)</f>
        <v/>
      </c>
      <c r="S22" s="12" t="str">
        <f aca="false">IF($A22="","",OwnerJabatan)</f>
        <v/>
      </c>
    </row>
    <row r="23" customFormat="false" ht="15" hidden="false" customHeight="false" outlineLevel="0" collapsed="false">
      <c r="A23" s="16"/>
      <c r="B23" s="15"/>
      <c r="C23" s="16"/>
      <c r="D23" s="16"/>
      <c r="E23" s="16"/>
      <c r="F23" s="16"/>
      <c r="G23" s="16"/>
      <c r="H23" s="13" t="str">
        <f aca="false">IF($A23="","",SUMIFS('Penawaran - Item'!$F$8:$F$157,'Penawaran - Item'!$A$8:$A$157,A23))</f>
        <v/>
      </c>
      <c r="I23" s="21"/>
      <c r="J23" s="13" t="str">
        <f aca="false">IF($A23="","",H23*I23)</f>
        <v/>
      </c>
      <c r="K23" s="21"/>
      <c r="L23" s="13" t="str">
        <f aca="false">IF($A23="","",(H23-J23)*K23)</f>
        <v/>
      </c>
      <c r="M23" s="21"/>
      <c r="N23" s="13" t="str">
        <f aca="false">IF($A23="","",(H23-J23)*M23)</f>
        <v/>
      </c>
      <c r="O23" s="13" t="str">
        <f aca="false">IF($A23="","",H23-J23+L23+N23)</f>
        <v/>
      </c>
      <c r="P23" s="16"/>
      <c r="Q23" s="16"/>
      <c r="R23" s="12" t="str">
        <f aca="false">IF($A23="","",OwnerName)</f>
        <v/>
      </c>
      <c r="S23" s="12" t="str">
        <f aca="false">IF($A23="","",OwnerJabatan)</f>
        <v/>
      </c>
    </row>
    <row r="24" customFormat="false" ht="15" hidden="false" customHeight="false" outlineLevel="0" collapsed="false">
      <c r="A24" s="16"/>
      <c r="B24" s="15"/>
      <c r="C24" s="16"/>
      <c r="D24" s="16"/>
      <c r="E24" s="16"/>
      <c r="F24" s="16"/>
      <c r="G24" s="16"/>
      <c r="H24" s="13" t="str">
        <f aca="false">IF($A24="","",SUMIFS('Penawaran - Item'!$F$8:$F$157,'Penawaran - Item'!$A$8:$A$157,A24))</f>
        <v/>
      </c>
      <c r="I24" s="21"/>
      <c r="J24" s="13" t="str">
        <f aca="false">IF($A24="","",H24*I24)</f>
        <v/>
      </c>
      <c r="K24" s="21"/>
      <c r="L24" s="13" t="str">
        <f aca="false">IF($A24="","",(H24-J24)*K24)</f>
        <v/>
      </c>
      <c r="M24" s="21"/>
      <c r="N24" s="13" t="str">
        <f aca="false">IF($A24="","",(H24-J24)*M24)</f>
        <v/>
      </c>
      <c r="O24" s="13" t="str">
        <f aca="false">IF($A24="","",H24-J24+L24+N24)</f>
        <v/>
      </c>
      <c r="P24" s="16"/>
      <c r="Q24" s="16"/>
      <c r="R24" s="12" t="str">
        <f aca="false">IF($A24="","",OwnerName)</f>
        <v/>
      </c>
      <c r="S24" s="12" t="str">
        <f aca="false">IF($A24="","",OwnerJabatan)</f>
        <v/>
      </c>
    </row>
    <row r="25" customFormat="false" ht="15" hidden="false" customHeight="false" outlineLevel="0" collapsed="false">
      <c r="A25" s="16"/>
      <c r="B25" s="15"/>
      <c r="C25" s="16"/>
      <c r="D25" s="16"/>
      <c r="E25" s="16"/>
      <c r="F25" s="16"/>
      <c r="G25" s="16"/>
      <c r="H25" s="13" t="str">
        <f aca="false">IF($A25="","",SUMIFS('Penawaran - Item'!$F$8:$F$157,'Penawaran - Item'!$A$8:$A$157,A25))</f>
        <v/>
      </c>
      <c r="I25" s="21"/>
      <c r="J25" s="13" t="str">
        <f aca="false">IF($A25="","",H25*I25)</f>
        <v/>
      </c>
      <c r="K25" s="21"/>
      <c r="L25" s="13" t="str">
        <f aca="false">IF($A25="","",(H25-J25)*K25)</f>
        <v/>
      </c>
      <c r="M25" s="21"/>
      <c r="N25" s="13" t="str">
        <f aca="false">IF($A25="","",(H25-J25)*M25)</f>
        <v/>
      </c>
      <c r="O25" s="13" t="str">
        <f aca="false">IF($A25="","",H25-J25+L25+N25)</f>
        <v/>
      </c>
      <c r="P25" s="16"/>
      <c r="Q25" s="16"/>
      <c r="R25" s="12" t="str">
        <f aca="false">IF($A25="","",OwnerName)</f>
        <v/>
      </c>
      <c r="S25" s="12" t="str">
        <f aca="false">IF($A25="","",OwnerJabatan)</f>
        <v/>
      </c>
    </row>
    <row r="26" customFormat="false" ht="15" hidden="false" customHeight="false" outlineLevel="0" collapsed="false">
      <c r="A26" s="16"/>
      <c r="B26" s="15"/>
      <c r="C26" s="16"/>
      <c r="D26" s="16"/>
      <c r="E26" s="16"/>
      <c r="F26" s="16"/>
      <c r="G26" s="16"/>
      <c r="H26" s="13" t="str">
        <f aca="false">IF($A26="","",SUMIFS('Penawaran - Item'!$F$8:$F$157,'Penawaran - Item'!$A$8:$A$157,A26))</f>
        <v/>
      </c>
      <c r="I26" s="21"/>
      <c r="J26" s="13" t="str">
        <f aca="false">IF($A26="","",H26*I26)</f>
        <v/>
      </c>
      <c r="K26" s="21"/>
      <c r="L26" s="13" t="str">
        <f aca="false">IF($A26="","",(H26-J26)*K26)</f>
        <v/>
      </c>
      <c r="M26" s="21"/>
      <c r="N26" s="13" t="str">
        <f aca="false">IF($A26="","",(H26-J26)*M26)</f>
        <v/>
      </c>
      <c r="O26" s="13" t="str">
        <f aca="false">IF($A26="","",H26-J26+L26+N26)</f>
        <v/>
      </c>
      <c r="P26" s="16"/>
      <c r="Q26" s="16"/>
      <c r="R26" s="12" t="str">
        <f aca="false">IF($A26="","",OwnerName)</f>
        <v/>
      </c>
      <c r="S26" s="12" t="str">
        <f aca="false">IF($A26="","",OwnerJabatan)</f>
        <v/>
      </c>
    </row>
    <row r="27" customFormat="false" ht="15" hidden="false" customHeight="false" outlineLevel="0" collapsed="false">
      <c r="A27" s="16"/>
      <c r="B27" s="15"/>
      <c r="C27" s="16"/>
      <c r="D27" s="16"/>
      <c r="E27" s="16"/>
      <c r="F27" s="16"/>
      <c r="G27" s="16"/>
      <c r="H27" s="13" t="str">
        <f aca="false">IF($A27="","",SUMIFS('Penawaran - Item'!$F$8:$F$157,'Penawaran - Item'!$A$8:$A$157,A27))</f>
        <v/>
      </c>
      <c r="I27" s="21"/>
      <c r="J27" s="13" t="str">
        <f aca="false">IF($A27="","",H27*I27)</f>
        <v/>
      </c>
      <c r="K27" s="21"/>
      <c r="L27" s="13" t="str">
        <f aca="false">IF($A27="","",(H27-J27)*K27)</f>
        <v/>
      </c>
      <c r="M27" s="21"/>
      <c r="N27" s="13" t="str">
        <f aca="false">IF($A27="","",(H27-J27)*M27)</f>
        <v/>
      </c>
      <c r="O27" s="13" t="str">
        <f aca="false">IF($A27="","",H27-J27+L27+N27)</f>
        <v/>
      </c>
      <c r="P27" s="16"/>
      <c r="Q27" s="16"/>
      <c r="R27" s="12" t="str">
        <f aca="false">IF($A27="","",OwnerName)</f>
        <v/>
      </c>
      <c r="S27" s="12" t="str">
        <f aca="false">IF($A27="","",OwnerJabatan)</f>
        <v/>
      </c>
    </row>
    <row r="28" customFormat="false" ht="15" hidden="false" customHeight="false" outlineLevel="0" collapsed="false">
      <c r="A28" s="16"/>
      <c r="B28" s="15"/>
      <c r="C28" s="16"/>
      <c r="D28" s="16"/>
      <c r="E28" s="16"/>
      <c r="F28" s="16"/>
      <c r="G28" s="16"/>
      <c r="H28" s="13" t="str">
        <f aca="false">IF($A28="","",SUMIFS('Penawaran - Item'!$F$8:$F$157,'Penawaran - Item'!$A$8:$A$157,A28))</f>
        <v/>
      </c>
      <c r="I28" s="21"/>
      <c r="J28" s="13" t="str">
        <f aca="false">IF($A28="","",H28*I28)</f>
        <v/>
      </c>
      <c r="K28" s="21"/>
      <c r="L28" s="13" t="str">
        <f aca="false">IF($A28="","",(H28-J28)*K28)</f>
        <v/>
      </c>
      <c r="M28" s="21"/>
      <c r="N28" s="13" t="str">
        <f aca="false">IF($A28="","",(H28-J28)*M28)</f>
        <v/>
      </c>
      <c r="O28" s="13" t="str">
        <f aca="false">IF($A28="","",H28-J28+L28+N28)</f>
        <v/>
      </c>
      <c r="P28" s="16"/>
      <c r="Q28" s="16"/>
      <c r="R28" s="12" t="str">
        <f aca="false">IF($A28="","",OwnerName)</f>
        <v/>
      </c>
      <c r="S28" s="12" t="str">
        <f aca="false">IF($A28="","",OwnerJabatan)</f>
        <v/>
      </c>
    </row>
    <row r="29" customFormat="false" ht="15" hidden="false" customHeight="false" outlineLevel="0" collapsed="false">
      <c r="A29" s="16"/>
      <c r="B29" s="15"/>
      <c r="C29" s="16"/>
      <c r="D29" s="16"/>
      <c r="E29" s="16"/>
      <c r="F29" s="16"/>
      <c r="G29" s="16"/>
      <c r="H29" s="13" t="str">
        <f aca="false">IF($A29="","",SUMIFS('Penawaran - Item'!$F$8:$F$157,'Penawaran - Item'!$A$8:$A$157,A29))</f>
        <v/>
      </c>
      <c r="I29" s="21"/>
      <c r="J29" s="13" t="str">
        <f aca="false">IF($A29="","",H29*I29)</f>
        <v/>
      </c>
      <c r="K29" s="21"/>
      <c r="L29" s="13" t="str">
        <f aca="false">IF($A29="","",(H29-J29)*K29)</f>
        <v/>
      </c>
      <c r="M29" s="21"/>
      <c r="N29" s="13" t="str">
        <f aca="false">IF($A29="","",(H29-J29)*M29)</f>
        <v/>
      </c>
      <c r="O29" s="13" t="str">
        <f aca="false">IF($A29="","",H29-J29+L29+N29)</f>
        <v/>
      </c>
      <c r="P29" s="16"/>
      <c r="Q29" s="16"/>
      <c r="R29" s="12" t="str">
        <f aca="false">IF($A29="","",OwnerName)</f>
        <v/>
      </c>
      <c r="S29" s="12" t="str">
        <f aca="false">IF($A29="","",OwnerJabatan)</f>
        <v/>
      </c>
    </row>
    <row r="30" customFormat="false" ht="15" hidden="false" customHeight="false" outlineLevel="0" collapsed="false">
      <c r="A30" s="16"/>
      <c r="B30" s="15"/>
      <c r="C30" s="16"/>
      <c r="D30" s="16"/>
      <c r="E30" s="16"/>
      <c r="F30" s="16"/>
      <c r="G30" s="16"/>
      <c r="H30" s="13" t="str">
        <f aca="false">IF($A30="","",SUMIFS('Penawaran - Item'!$F$8:$F$157,'Penawaran - Item'!$A$8:$A$157,A30))</f>
        <v/>
      </c>
      <c r="I30" s="21"/>
      <c r="J30" s="13" t="str">
        <f aca="false">IF($A30="","",H30*I30)</f>
        <v/>
      </c>
      <c r="K30" s="21"/>
      <c r="L30" s="13" t="str">
        <f aca="false">IF($A30="","",(H30-J30)*K30)</f>
        <v/>
      </c>
      <c r="M30" s="21"/>
      <c r="N30" s="13" t="str">
        <f aca="false">IF($A30="","",(H30-J30)*M30)</f>
        <v/>
      </c>
      <c r="O30" s="13" t="str">
        <f aca="false">IF($A30="","",H30-J30+L30+N30)</f>
        <v/>
      </c>
      <c r="P30" s="16"/>
      <c r="Q30" s="16"/>
      <c r="R30" s="12" t="str">
        <f aca="false">IF($A30="","",OwnerName)</f>
        <v/>
      </c>
      <c r="S30" s="12" t="str">
        <f aca="false">IF($A30="","",OwnerJabatan)</f>
        <v/>
      </c>
    </row>
    <row r="31" customFormat="false" ht="15" hidden="false" customHeight="false" outlineLevel="0" collapsed="false">
      <c r="A31" s="16"/>
      <c r="B31" s="15"/>
      <c r="C31" s="16"/>
      <c r="D31" s="16"/>
      <c r="E31" s="16"/>
      <c r="F31" s="16"/>
      <c r="G31" s="16"/>
      <c r="H31" s="13" t="str">
        <f aca="false">IF($A31="","",SUMIFS('Penawaran - Item'!$F$8:$F$157,'Penawaran - Item'!$A$8:$A$157,A31))</f>
        <v/>
      </c>
      <c r="I31" s="21"/>
      <c r="J31" s="13" t="str">
        <f aca="false">IF($A31="","",H31*I31)</f>
        <v/>
      </c>
      <c r="K31" s="21"/>
      <c r="L31" s="13" t="str">
        <f aca="false">IF($A31="","",(H31-J31)*K31)</f>
        <v/>
      </c>
      <c r="M31" s="21"/>
      <c r="N31" s="13" t="str">
        <f aca="false">IF($A31="","",(H31-J31)*M31)</f>
        <v/>
      </c>
      <c r="O31" s="13" t="str">
        <f aca="false">IF($A31="","",H31-J31+L31+N31)</f>
        <v/>
      </c>
      <c r="P31" s="16"/>
      <c r="Q31" s="16"/>
      <c r="R31" s="12" t="str">
        <f aca="false">IF($A31="","",OwnerName)</f>
        <v/>
      </c>
      <c r="S31" s="12" t="str">
        <f aca="false">IF($A31="","",OwnerJabatan)</f>
        <v/>
      </c>
    </row>
    <row r="32" customFormat="false" ht="15" hidden="false" customHeight="false" outlineLevel="0" collapsed="false">
      <c r="A32" s="16"/>
      <c r="B32" s="15"/>
      <c r="C32" s="16"/>
      <c r="D32" s="16"/>
      <c r="E32" s="16"/>
      <c r="F32" s="16"/>
      <c r="G32" s="16"/>
      <c r="H32" s="13" t="str">
        <f aca="false">IF($A32="","",SUMIFS('Penawaran - Item'!$F$8:$F$157,'Penawaran - Item'!$A$8:$A$157,A32))</f>
        <v/>
      </c>
      <c r="I32" s="21"/>
      <c r="J32" s="13" t="str">
        <f aca="false">IF($A32="","",H32*I32)</f>
        <v/>
      </c>
      <c r="K32" s="21"/>
      <c r="L32" s="13" t="str">
        <f aca="false">IF($A32="","",(H32-J32)*K32)</f>
        <v/>
      </c>
      <c r="M32" s="21"/>
      <c r="N32" s="13" t="str">
        <f aca="false">IF($A32="","",(H32-J32)*M32)</f>
        <v/>
      </c>
      <c r="O32" s="13" t="str">
        <f aca="false">IF($A32="","",H32-J32+L32+N32)</f>
        <v/>
      </c>
      <c r="P32" s="16"/>
      <c r="Q32" s="16"/>
      <c r="R32" s="12" t="str">
        <f aca="false">IF($A32="","",OwnerName)</f>
        <v/>
      </c>
      <c r="S32" s="12" t="str">
        <f aca="false">IF($A32="","",OwnerJabatan)</f>
        <v/>
      </c>
    </row>
    <row r="33" customFormat="false" ht="15" hidden="false" customHeight="false" outlineLevel="0" collapsed="false">
      <c r="A33" s="16"/>
      <c r="B33" s="15"/>
      <c r="C33" s="16"/>
      <c r="D33" s="16"/>
      <c r="E33" s="16"/>
      <c r="F33" s="16"/>
      <c r="G33" s="16"/>
      <c r="H33" s="13" t="str">
        <f aca="false">IF($A33="","",SUMIFS('Penawaran - Item'!$F$8:$F$157,'Penawaran - Item'!$A$8:$A$157,A33))</f>
        <v/>
      </c>
      <c r="I33" s="21"/>
      <c r="J33" s="13" t="str">
        <f aca="false">IF($A33="","",H33*I33)</f>
        <v/>
      </c>
      <c r="K33" s="21"/>
      <c r="L33" s="13" t="str">
        <f aca="false">IF($A33="","",(H33-J33)*K33)</f>
        <v/>
      </c>
      <c r="M33" s="21"/>
      <c r="N33" s="13" t="str">
        <f aca="false">IF($A33="","",(H33-J33)*M33)</f>
        <v/>
      </c>
      <c r="O33" s="13" t="str">
        <f aca="false">IF($A33="","",H33-J33+L33+N33)</f>
        <v/>
      </c>
      <c r="P33" s="16"/>
      <c r="Q33" s="16"/>
      <c r="R33" s="12" t="str">
        <f aca="false">IF($A33="","",OwnerName)</f>
        <v/>
      </c>
      <c r="S33" s="12" t="str">
        <f aca="false">IF($A33="","",OwnerJabatan)</f>
        <v/>
      </c>
    </row>
  </sheetData>
  <dataValidations count="2">
    <dataValidation allowBlank="true" errorStyle="stop" operator="between" showDropDown="false" showErrorMessage="false" showInputMessage="false" sqref="F4:F33" type="list">
      <formula1>Data!$F$2:$F$11</formula1>
      <formula2>0</formula2>
    </dataValidation>
    <dataValidation allowBlank="true" errorStyle="stop" operator="between" showDropDown="false" showErrorMessage="false" showInputMessage="false" sqref="G4:G33" type="list">
      <formula1>Data!$N$2:$N$5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78D6"/>
    <pageSetUpPr fitToPage="false"/>
  </sheetPr>
  <dimension ref="A1:I1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0"/>
    <col collapsed="false" customWidth="true" hidden="false" outlineLevel="0" max="3" min="3" style="0" width="9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15"/>
    <col collapsed="false" customWidth="true" hidden="false" outlineLevel="0" max="7" min="7" style="0" width="12"/>
    <col collapsed="false" customWidth="true" hidden="false" outlineLevel="0" max="8" min="8" style="0" width="15"/>
    <col collapsed="false" customWidth="true" hidden="false" outlineLevel="0" max="9" min="9" style="0" width="18"/>
  </cols>
  <sheetData>
    <row r="1" customFormat="false" ht="19.7" hidden="false" customHeight="false" outlineLevel="0" collapsed="false">
      <c r="A1" s="1" t="s">
        <v>270</v>
      </c>
    </row>
    <row r="2" customFormat="false" ht="15" hidden="false" customHeight="false" outlineLevel="0" collapsed="false">
      <c r="A2" s="2" t="s">
        <v>271</v>
      </c>
    </row>
    <row r="7" customFormat="false" ht="27.75" hidden="false" customHeight="true" outlineLevel="0" collapsed="false">
      <c r="A7" s="9" t="s">
        <v>259</v>
      </c>
      <c r="B7" s="10" t="s">
        <v>159</v>
      </c>
      <c r="C7" s="10" t="s">
        <v>147</v>
      </c>
      <c r="D7" s="10" t="s">
        <v>254</v>
      </c>
      <c r="E7" s="10" t="s">
        <v>150</v>
      </c>
      <c r="F7" s="10" t="s">
        <v>17</v>
      </c>
      <c r="G7" s="10" t="s">
        <v>255</v>
      </c>
      <c r="H7" s="10" t="s">
        <v>256</v>
      </c>
      <c r="I7" s="10" t="s">
        <v>272</v>
      </c>
    </row>
    <row r="8" customFormat="false" ht="15" hidden="false" customHeight="false" outlineLevel="0" collapsed="false">
      <c r="A8" s="16"/>
      <c r="B8" s="16"/>
      <c r="C8" s="16"/>
      <c r="D8" s="29"/>
      <c r="E8" s="17"/>
      <c r="F8" s="13" t="str">
        <f aca="false">IF($A8="","",D8*E8)</f>
        <v/>
      </c>
      <c r="G8" s="16"/>
      <c r="H8" s="13" t="str">
        <f aca="false">IF($G8="","",IFERROR(INDEX(AHSP!$I$4:$I$43,MATCH(G8,AHSP!$B$4:$B$43,0)),""))</f>
        <v/>
      </c>
      <c r="I8" s="12" t="str">
        <f aca="false">IF($A8="","",A8&amp;"|"&amp;COUNTIF($A$8:A8,A8))</f>
        <v/>
      </c>
    </row>
    <row r="9" customFormat="false" ht="15" hidden="false" customHeight="false" outlineLevel="0" collapsed="false">
      <c r="A9" s="16"/>
      <c r="B9" s="16"/>
      <c r="C9" s="16"/>
      <c r="D9" s="29"/>
      <c r="E9" s="17"/>
      <c r="F9" s="13" t="str">
        <f aca="false">IF($A9="","",D9*E9)</f>
        <v/>
      </c>
      <c r="G9" s="16"/>
      <c r="H9" s="13" t="str">
        <f aca="false">IF($G9="","",IFERROR(INDEX(AHSP!$I$4:$I$43,MATCH(G9,AHSP!$B$4:$B$43,0)),""))</f>
        <v/>
      </c>
      <c r="I9" s="12" t="str">
        <f aca="false">IF($A9="","",A9&amp;"|"&amp;COUNTIF($A$8:A9,A9))</f>
        <v/>
      </c>
    </row>
    <row r="10" customFormat="false" ht="15" hidden="false" customHeight="false" outlineLevel="0" collapsed="false">
      <c r="A10" s="16"/>
      <c r="B10" s="16"/>
      <c r="C10" s="16"/>
      <c r="D10" s="29"/>
      <c r="E10" s="17"/>
      <c r="F10" s="13" t="str">
        <f aca="false">IF($A10="","",D10*E10)</f>
        <v/>
      </c>
      <c r="G10" s="16"/>
      <c r="H10" s="13" t="str">
        <f aca="false">IF($G10="","",IFERROR(INDEX(AHSP!$I$4:$I$43,MATCH(G10,AHSP!$B$4:$B$43,0)),""))</f>
        <v/>
      </c>
      <c r="I10" s="12" t="str">
        <f aca="false">IF($A10="","",A10&amp;"|"&amp;COUNTIF($A$8:A10,A10))</f>
        <v/>
      </c>
    </row>
    <row r="11" customFormat="false" ht="15" hidden="false" customHeight="false" outlineLevel="0" collapsed="false">
      <c r="A11" s="16"/>
      <c r="B11" s="16"/>
      <c r="C11" s="16"/>
      <c r="D11" s="29"/>
      <c r="E11" s="17"/>
      <c r="F11" s="13" t="str">
        <f aca="false">IF($A11="","",D11*E11)</f>
        <v/>
      </c>
      <c r="G11" s="16"/>
      <c r="H11" s="13" t="str">
        <f aca="false">IF($G11="","",IFERROR(INDEX(AHSP!$I$4:$I$43,MATCH(G11,AHSP!$B$4:$B$43,0)),""))</f>
        <v/>
      </c>
      <c r="I11" s="12" t="str">
        <f aca="false">IF($A11="","",A11&amp;"|"&amp;COUNTIF($A$8:A11,A11))</f>
        <v/>
      </c>
    </row>
    <row r="12" customFormat="false" ht="15" hidden="false" customHeight="false" outlineLevel="0" collapsed="false">
      <c r="A12" s="16"/>
      <c r="B12" s="16"/>
      <c r="C12" s="16"/>
      <c r="D12" s="29"/>
      <c r="E12" s="17"/>
      <c r="F12" s="13" t="str">
        <f aca="false">IF($A12="","",D12*E12)</f>
        <v/>
      </c>
      <c r="G12" s="16"/>
      <c r="H12" s="13" t="str">
        <f aca="false">IF($G12="","",IFERROR(INDEX(AHSP!$I$4:$I$43,MATCH(G12,AHSP!$B$4:$B$43,0)),""))</f>
        <v/>
      </c>
      <c r="I12" s="12" t="str">
        <f aca="false">IF($A12="","",A12&amp;"|"&amp;COUNTIF($A$8:A12,A12))</f>
        <v/>
      </c>
    </row>
    <row r="13" customFormat="false" ht="15" hidden="false" customHeight="false" outlineLevel="0" collapsed="false">
      <c r="A13" s="16"/>
      <c r="B13" s="16"/>
      <c r="C13" s="16"/>
      <c r="D13" s="29"/>
      <c r="E13" s="17"/>
      <c r="F13" s="13" t="str">
        <f aca="false">IF($A13="","",D13*E13)</f>
        <v/>
      </c>
      <c r="G13" s="16"/>
      <c r="H13" s="13" t="str">
        <f aca="false">IF($G13="","",IFERROR(INDEX(AHSP!$I$4:$I$43,MATCH(G13,AHSP!$B$4:$B$43,0)),""))</f>
        <v/>
      </c>
      <c r="I13" s="12" t="str">
        <f aca="false">IF($A13="","",A13&amp;"|"&amp;COUNTIF($A$8:A13,A13))</f>
        <v/>
      </c>
    </row>
    <row r="14" customFormat="false" ht="15" hidden="false" customHeight="false" outlineLevel="0" collapsed="false">
      <c r="A14" s="16"/>
      <c r="B14" s="16"/>
      <c r="C14" s="16"/>
      <c r="D14" s="29"/>
      <c r="E14" s="17"/>
      <c r="F14" s="13" t="str">
        <f aca="false">IF($A14="","",D14*E14)</f>
        <v/>
      </c>
      <c r="G14" s="16"/>
      <c r="H14" s="13" t="str">
        <f aca="false">IF($G14="","",IFERROR(INDEX(AHSP!$I$4:$I$43,MATCH(G14,AHSP!$B$4:$B$43,0)),""))</f>
        <v/>
      </c>
      <c r="I14" s="12" t="str">
        <f aca="false">IF($A14="","",A14&amp;"|"&amp;COUNTIF($A$8:A14,A14))</f>
        <v/>
      </c>
    </row>
    <row r="15" customFormat="false" ht="15" hidden="false" customHeight="false" outlineLevel="0" collapsed="false">
      <c r="A15" s="16"/>
      <c r="B15" s="16"/>
      <c r="C15" s="16"/>
      <c r="D15" s="29"/>
      <c r="E15" s="17"/>
      <c r="F15" s="13" t="str">
        <f aca="false">IF($A15="","",D15*E15)</f>
        <v/>
      </c>
      <c r="G15" s="16"/>
      <c r="H15" s="13" t="str">
        <f aca="false">IF($G15="","",IFERROR(INDEX(AHSP!$I$4:$I$43,MATCH(G15,AHSP!$B$4:$B$43,0)),""))</f>
        <v/>
      </c>
      <c r="I15" s="12" t="str">
        <f aca="false">IF($A15="","",A15&amp;"|"&amp;COUNTIF($A$8:A15,A15))</f>
        <v/>
      </c>
    </row>
    <row r="16" customFormat="false" ht="15" hidden="false" customHeight="false" outlineLevel="0" collapsed="false">
      <c r="A16" s="16"/>
      <c r="B16" s="16"/>
      <c r="C16" s="16"/>
      <c r="D16" s="29"/>
      <c r="E16" s="17"/>
      <c r="F16" s="13" t="str">
        <f aca="false">IF($A16="","",D16*E16)</f>
        <v/>
      </c>
      <c r="G16" s="16"/>
      <c r="H16" s="13" t="str">
        <f aca="false">IF($G16="","",IFERROR(INDEX(AHSP!$I$4:$I$43,MATCH(G16,AHSP!$B$4:$B$43,0)),""))</f>
        <v/>
      </c>
      <c r="I16" s="12" t="str">
        <f aca="false">IF($A16="","",A16&amp;"|"&amp;COUNTIF($A$8:A16,A16))</f>
        <v/>
      </c>
    </row>
    <row r="17" customFormat="false" ht="15" hidden="false" customHeight="false" outlineLevel="0" collapsed="false">
      <c r="A17" s="16"/>
      <c r="B17" s="16"/>
      <c r="C17" s="16"/>
      <c r="D17" s="29"/>
      <c r="E17" s="17"/>
      <c r="F17" s="13" t="str">
        <f aca="false">IF($A17="","",D17*E17)</f>
        <v/>
      </c>
      <c r="G17" s="16"/>
      <c r="H17" s="13" t="str">
        <f aca="false">IF($G17="","",IFERROR(INDEX(AHSP!$I$4:$I$43,MATCH(G17,AHSP!$B$4:$B$43,0)),""))</f>
        <v/>
      </c>
      <c r="I17" s="12" t="str">
        <f aca="false">IF($A17="","",A17&amp;"|"&amp;COUNTIF($A$8:A17,A17))</f>
        <v/>
      </c>
    </row>
    <row r="18" customFormat="false" ht="15" hidden="false" customHeight="false" outlineLevel="0" collapsed="false">
      <c r="A18" s="16"/>
      <c r="B18" s="16"/>
      <c r="C18" s="16"/>
      <c r="D18" s="29"/>
      <c r="E18" s="17"/>
      <c r="F18" s="13" t="str">
        <f aca="false">IF($A18="","",D18*E18)</f>
        <v/>
      </c>
      <c r="G18" s="16"/>
      <c r="H18" s="13" t="str">
        <f aca="false">IF($G18="","",IFERROR(INDEX(AHSP!$I$4:$I$43,MATCH(G18,AHSP!$B$4:$B$43,0)),""))</f>
        <v/>
      </c>
      <c r="I18" s="12" t="str">
        <f aca="false">IF($A18="","",A18&amp;"|"&amp;COUNTIF($A$8:A18,A18))</f>
        <v/>
      </c>
    </row>
    <row r="19" customFormat="false" ht="15" hidden="false" customHeight="false" outlineLevel="0" collapsed="false">
      <c r="A19" s="16"/>
      <c r="B19" s="16"/>
      <c r="C19" s="16"/>
      <c r="D19" s="29"/>
      <c r="E19" s="17"/>
      <c r="F19" s="13" t="str">
        <f aca="false">IF($A19="","",D19*E19)</f>
        <v/>
      </c>
      <c r="G19" s="16"/>
      <c r="H19" s="13" t="str">
        <f aca="false">IF($G19="","",IFERROR(INDEX(AHSP!$I$4:$I$43,MATCH(G19,AHSP!$B$4:$B$43,0)),""))</f>
        <v/>
      </c>
      <c r="I19" s="12" t="str">
        <f aca="false">IF($A19="","",A19&amp;"|"&amp;COUNTIF($A$8:A19,A19))</f>
        <v/>
      </c>
    </row>
    <row r="20" customFormat="false" ht="15" hidden="false" customHeight="false" outlineLevel="0" collapsed="false">
      <c r="A20" s="16"/>
      <c r="B20" s="16"/>
      <c r="C20" s="16"/>
      <c r="D20" s="29"/>
      <c r="E20" s="17"/>
      <c r="F20" s="13" t="str">
        <f aca="false">IF($A20="","",D20*E20)</f>
        <v/>
      </c>
      <c r="G20" s="16"/>
      <c r="H20" s="13" t="str">
        <f aca="false">IF($G20="","",IFERROR(INDEX(AHSP!$I$4:$I$43,MATCH(G20,AHSP!$B$4:$B$43,0)),""))</f>
        <v/>
      </c>
      <c r="I20" s="12" t="str">
        <f aca="false">IF($A20="","",A20&amp;"|"&amp;COUNTIF($A$8:A20,A20))</f>
        <v/>
      </c>
    </row>
    <row r="21" customFormat="false" ht="15" hidden="false" customHeight="false" outlineLevel="0" collapsed="false">
      <c r="A21" s="16"/>
      <c r="B21" s="16"/>
      <c r="C21" s="16"/>
      <c r="D21" s="29"/>
      <c r="E21" s="17"/>
      <c r="F21" s="13" t="str">
        <f aca="false">IF($A21="","",D21*E21)</f>
        <v/>
      </c>
      <c r="G21" s="16"/>
      <c r="H21" s="13" t="str">
        <f aca="false">IF($G21="","",IFERROR(INDEX(AHSP!$I$4:$I$43,MATCH(G21,AHSP!$B$4:$B$43,0)),""))</f>
        <v/>
      </c>
      <c r="I21" s="12" t="str">
        <f aca="false">IF($A21="","",A21&amp;"|"&amp;COUNTIF($A$8:A21,A21))</f>
        <v/>
      </c>
    </row>
    <row r="22" customFormat="false" ht="15" hidden="false" customHeight="false" outlineLevel="0" collapsed="false">
      <c r="A22" s="16"/>
      <c r="B22" s="16"/>
      <c r="C22" s="16"/>
      <c r="D22" s="29"/>
      <c r="E22" s="17"/>
      <c r="F22" s="13" t="str">
        <f aca="false">IF($A22="","",D22*E22)</f>
        <v/>
      </c>
      <c r="G22" s="16"/>
      <c r="H22" s="13" t="str">
        <f aca="false">IF($G22="","",IFERROR(INDEX(AHSP!$I$4:$I$43,MATCH(G22,AHSP!$B$4:$B$43,0)),""))</f>
        <v/>
      </c>
      <c r="I22" s="12" t="str">
        <f aca="false">IF($A22="","",A22&amp;"|"&amp;COUNTIF($A$8:A22,A22))</f>
        <v/>
      </c>
    </row>
    <row r="23" customFormat="false" ht="15" hidden="false" customHeight="false" outlineLevel="0" collapsed="false">
      <c r="A23" s="16"/>
      <c r="B23" s="16"/>
      <c r="C23" s="16"/>
      <c r="D23" s="29"/>
      <c r="E23" s="17"/>
      <c r="F23" s="13" t="str">
        <f aca="false">IF($A23="","",D23*E23)</f>
        <v/>
      </c>
      <c r="G23" s="16"/>
      <c r="H23" s="13" t="str">
        <f aca="false">IF($G23="","",IFERROR(INDEX(AHSP!$I$4:$I$43,MATCH(G23,AHSP!$B$4:$B$43,0)),""))</f>
        <v/>
      </c>
      <c r="I23" s="12" t="str">
        <f aca="false">IF($A23="","",A23&amp;"|"&amp;COUNTIF($A$8:A23,A23))</f>
        <v/>
      </c>
    </row>
    <row r="24" customFormat="false" ht="15" hidden="false" customHeight="false" outlineLevel="0" collapsed="false">
      <c r="A24" s="16"/>
      <c r="B24" s="16"/>
      <c r="C24" s="16"/>
      <c r="D24" s="29"/>
      <c r="E24" s="17"/>
      <c r="F24" s="13" t="str">
        <f aca="false">IF($A24="","",D24*E24)</f>
        <v/>
      </c>
      <c r="G24" s="16"/>
      <c r="H24" s="13" t="str">
        <f aca="false">IF($G24="","",IFERROR(INDEX(AHSP!$I$4:$I$43,MATCH(G24,AHSP!$B$4:$B$43,0)),""))</f>
        <v/>
      </c>
      <c r="I24" s="12" t="str">
        <f aca="false">IF($A24="","",A24&amp;"|"&amp;COUNTIF($A$8:A24,A24))</f>
        <v/>
      </c>
    </row>
    <row r="25" customFormat="false" ht="15" hidden="false" customHeight="false" outlineLevel="0" collapsed="false">
      <c r="A25" s="16"/>
      <c r="B25" s="16"/>
      <c r="C25" s="16"/>
      <c r="D25" s="29"/>
      <c r="E25" s="17"/>
      <c r="F25" s="13" t="str">
        <f aca="false">IF($A25="","",D25*E25)</f>
        <v/>
      </c>
      <c r="G25" s="16"/>
      <c r="H25" s="13" t="str">
        <f aca="false">IF($G25="","",IFERROR(INDEX(AHSP!$I$4:$I$43,MATCH(G25,AHSP!$B$4:$B$43,0)),""))</f>
        <v/>
      </c>
      <c r="I25" s="12" t="str">
        <f aca="false">IF($A25="","",A25&amp;"|"&amp;COUNTIF($A$8:A25,A25))</f>
        <v/>
      </c>
    </row>
    <row r="26" customFormat="false" ht="15" hidden="false" customHeight="false" outlineLevel="0" collapsed="false">
      <c r="A26" s="16"/>
      <c r="B26" s="16"/>
      <c r="C26" s="16"/>
      <c r="D26" s="29"/>
      <c r="E26" s="17"/>
      <c r="F26" s="13" t="str">
        <f aca="false">IF($A26="","",D26*E26)</f>
        <v/>
      </c>
      <c r="G26" s="16"/>
      <c r="H26" s="13" t="str">
        <f aca="false">IF($G26="","",IFERROR(INDEX(AHSP!$I$4:$I$43,MATCH(G26,AHSP!$B$4:$B$43,0)),""))</f>
        <v/>
      </c>
      <c r="I26" s="12" t="str">
        <f aca="false">IF($A26="","",A26&amp;"|"&amp;COUNTIF($A$8:A26,A26))</f>
        <v/>
      </c>
    </row>
    <row r="27" customFormat="false" ht="15" hidden="false" customHeight="false" outlineLevel="0" collapsed="false">
      <c r="A27" s="16"/>
      <c r="B27" s="16"/>
      <c r="C27" s="16"/>
      <c r="D27" s="29"/>
      <c r="E27" s="17"/>
      <c r="F27" s="13" t="str">
        <f aca="false">IF($A27="","",D27*E27)</f>
        <v/>
      </c>
      <c r="G27" s="16"/>
      <c r="H27" s="13" t="str">
        <f aca="false">IF($G27="","",IFERROR(INDEX(AHSP!$I$4:$I$43,MATCH(G27,AHSP!$B$4:$B$43,0)),""))</f>
        <v/>
      </c>
      <c r="I27" s="12" t="str">
        <f aca="false">IF($A27="","",A27&amp;"|"&amp;COUNTIF($A$8:A27,A27))</f>
        <v/>
      </c>
    </row>
    <row r="28" customFormat="false" ht="15" hidden="false" customHeight="false" outlineLevel="0" collapsed="false">
      <c r="A28" s="16"/>
      <c r="B28" s="16"/>
      <c r="C28" s="16"/>
      <c r="D28" s="29"/>
      <c r="E28" s="17"/>
      <c r="F28" s="13" t="str">
        <f aca="false">IF($A28="","",D28*E28)</f>
        <v/>
      </c>
      <c r="G28" s="16"/>
      <c r="H28" s="13" t="str">
        <f aca="false">IF($G28="","",IFERROR(INDEX(AHSP!$I$4:$I$43,MATCH(G28,AHSP!$B$4:$B$43,0)),""))</f>
        <v/>
      </c>
      <c r="I28" s="12" t="str">
        <f aca="false">IF($A28="","",A28&amp;"|"&amp;COUNTIF($A$8:A28,A28))</f>
        <v/>
      </c>
    </row>
    <row r="29" customFormat="false" ht="15" hidden="false" customHeight="false" outlineLevel="0" collapsed="false">
      <c r="A29" s="16"/>
      <c r="B29" s="16"/>
      <c r="C29" s="16"/>
      <c r="D29" s="29"/>
      <c r="E29" s="17"/>
      <c r="F29" s="13" t="str">
        <f aca="false">IF($A29="","",D29*E29)</f>
        <v/>
      </c>
      <c r="G29" s="16"/>
      <c r="H29" s="13" t="str">
        <f aca="false">IF($G29="","",IFERROR(INDEX(AHSP!$I$4:$I$43,MATCH(G29,AHSP!$B$4:$B$43,0)),""))</f>
        <v/>
      </c>
      <c r="I29" s="12" t="str">
        <f aca="false">IF($A29="","",A29&amp;"|"&amp;COUNTIF($A$8:A29,A29))</f>
        <v/>
      </c>
    </row>
    <row r="30" customFormat="false" ht="15" hidden="false" customHeight="false" outlineLevel="0" collapsed="false">
      <c r="A30" s="16"/>
      <c r="B30" s="16"/>
      <c r="C30" s="16"/>
      <c r="D30" s="29"/>
      <c r="E30" s="17"/>
      <c r="F30" s="13" t="str">
        <f aca="false">IF($A30="","",D30*E30)</f>
        <v/>
      </c>
      <c r="G30" s="16"/>
      <c r="H30" s="13" t="str">
        <f aca="false">IF($G30="","",IFERROR(INDEX(AHSP!$I$4:$I$43,MATCH(G30,AHSP!$B$4:$B$43,0)),""))</f>
        <v/>
      </c>
      <c r="I30" s="12" t="str">
        <f aca="false">IF($A30="","",A30&amp;"|"&amp;COUNTIF($A$8:A30,A30))</f>
        <v/>
      </c>
    </row>
    <row r="31" customFormat="false" ht="15" hidden="false" customHeight="false" outlineLevel="0" collapsed="false">
      <c r="A31" s="16"/>
      <c r="B31" s="16"/>
      <c r="C31" s="16"/>
      <c r="D31" s="29"/>
      <c r="E31" s="17"/>
      <c r="F31" s="13" t="str">
        <f aca="false">IF($A31="","",D31*E31)</f>
        <v/>
      </c>
      <c r="G31" s="16"/>
      <c r="H31" s="13" t="str">
        <f aca="false">IF($G31="","",IFERROR(INDEX(AHSP!$I$4:$I$43,MATCH(G31,AHSP!$B$4:$B$43,0)),""))</f>
        <v/>
      </c>
      <c r="I31" s="12" t="str">
        <f aca="false">IF($A31="","",A31&amp;"|"&amp;COUNTIF($A$8:A31,A31))</f>
        <v/>
      </c>
    </row>
    <row r="32" customFormat="false" ht="15" hidden="false" customHeight="false" outlineLevel="0" collapsed="false">
      <c r="A32" s="16"/>
      <c r="B32" s="16"/>
      <c r="C32" s="16"/>
      <c r="D32" s="29"/>
      <c r="E32" s="17"/>
      <c r="F32" s="13" t="str">
        <f aca="false">IF($A32="","",D32*E32)</f>
        <v/>
      </c>
      <c r="G32" s="16"/>
      <c r="H32" s="13" t="str">
        <f aca="false">IF($G32="","",IFERROR(INDEX(AHSP!$I$4:$I$43,MATCH(G32,AHSP!$B$4:$B$43,0)),""))</f>
        <v/>
      </c>
      <c r="I32" s="12" t="str">
        <f aca="false">IF($A32="","",A32&amp;"|"&amp;COUNTIF($A$8:A32,A32))</f>
        <v/>
      </c>
    </row>
    <row r="33" customFormat="false" ht="15" hidden="false" customHeight="false" outlineLevel="0" collapsed="false">
      <c r="A33" s="16"/>
      <c r="B33" s="16"/>
      <c r="C33" s="16"/>
      <c r="D33" s="29"/>
      <c r="E33" s="17"/>
      <c r="F33" s="13" t="str">
        <f aca="false">IF($A33="","",D33*E33)</f>
        <v/>
      </c>
      <c r="G33" s="16"/>
      <c r="H33" s="13" t="str">
        <f aca="false">IF($G33="","",IFERROR(INDEX(AHSP!$I$4:$I$43,MATCH(G33,AHSP!$B$4:$B$43,0)),""))</f>
        <v/>
      </c>
      <c r="I33" s="12" t="str">
        <f aca="false">IF($A33="","",A33&amp;"|"&amp;COUNTIF($A$8:A33,A33))</f>
        <v/>
      </c>
    </row>
    <row r="34" customFormat="false" ht="15" hidden="false" customHeight="false" outlineLevel="0" collapsed="false">
      <c r="A34" s="16"/>
      <c r="B34" s="16"/>
      <c r="C34" s="16"/>
      <c r="D34" s="29"/>
      <c r="E34" s="17"/>
      <c r="F34" s="13" t="str">
        <f aca="false">IF($A34="","",D34*E34)</f>
        <v/>
      </c>
      <c r="G34" s="16"/>
      <c r="H34" s="13" t="str">
        <f aca="false">IF($G34="","",IFERROR(INDEX(AHSP!$I$4:$I$43,MATCH(G34,AHSP!$B$4:$B$43,0)),""))</f>
        <v/>
      </c>
      <c r="I34" s="12" t="str">
        <f aca="false">IF($A34="","",A34&amp;"|"&amp;COUNTIF($A$8:A34,A34))</f>
        <v/>
      </c>
    </row>
    <row r="35" customFormat="false" ht="15" hidden="false" customHeight="false" outlineLevel="0" collapsed="false">
      <c r="A35" s="16"/>
      <c r="B35" s="16"/>
      <c r="C35" s="16"/>
      <c r="D35" s="29"/>
      <c r="E35" s="17"/>
      <c r="F35" s="13" t="str">
        <f aca="false">IF($A35="","",D35*E35)</f>
        <v/>
      </c>
      <c r="G35" s="16"/>
      <c r="H35" s="13" t="str">
        <f aca="false">IF($G35="","",IFERROR(INDEX(AHSP!$I$4:$I$43,MATCH(G35,AHSP!$B$4:$B$43,0)),""))</f>
        <v/>
      </c>
      <c r="I35" s="12" t="str">
        <f aca="false">IF($A35="","",A35&amp;"|"&amp;COUNTIF($A$8:A35,A35))</f>
        <v/>
      </c>
    </row>
    <row r="36" customFormat="false" ht="15" hidden="false" customHeight="false" outlineLevel="0" collapsed="false">
      <c r="A36" s="16"/>
      <c r="B36" s="16"/>
      <c r="C36" s="16"/>
      <c r="D36" s="29"/>
      <c r="E36" s="17"/>
      <c r="F36" s="13" t="str">
        <f aca="false">IF($A36="","",D36*E36)</f>
        <v/>
      </c>
      <c r="G36" s="16"/>
      <c r="H36" s="13" t="str">
        <f aca="false">IF($G36="","",IFERROR(INDEX(AHSP!$I$4:$I$43,MATCH(G36,AHSP!$B$4:$B$43,0)),""))</f>
        <v/>
      </c>
      <c r="I36" s="12" t="str">
        <f aca="false">IF($A36="","",A36&amp;"|"&amp;COUNTIF($A$8:A36,A36))</f>
        <v/>
      </c>
    </row>
    <row r="37" customFormat="false" ht="15" hidden="false" customHeight="false" outlineLevel="0" collapsed="false">
      <c r="A37" s="16"/>
      <c r="B37" s="16"/>
      <c r="C37" s="16"/>
      <c r="D37" s="29"/>
      <c r="E37" s="17"/>
      <c r="F37" s="13" t="str">
        <f aca="false">IF($A37="","",D37*E37)</f>
        <v/>
      </c>
      <c r="G37" s="16"/>
      <c r="H37" s="13" t="str">
        <f aca="false">IF($G37="","",IFERROR(INDEX(AHSP!$I$4:$I$43,MATCH(G37,AHSP!$B$4:$B$43,0)),""))</f>
        <v/>
      </c>
      <c r="I37" s="12" t="str">
        <f aca="false">IF($A37="","",A37&amp;"|"&amp;COUNTIF($A$8:A37,A37))</f>
        <v/>
      </c>
    </row>
    <row r="38" customFormat="false" ht="15" hidden="false" customHeight="false" outlineLevel="0" collapsed="false">
      <c r="A38" s="16"/>
      <c r="B38" s="16"/>
      <c r="C38" s="16"/>
      <c r="D38" s="29"/>
      <c r="E38" s="17"/>
      <c r="F38" s="13" t="str">
        <f aca="false">IF($A38="","",D38*E38)</f>
        <v/>
      </c>
      <c r="G38" s="16"/>
      <c r="H38" s="13" t="str">
        <f aca="false">IF($G38="","",IFERROR(INDEX(AHSP!$I$4:$I$43,MATCH(G38,AHSP!$B$4:$B$43,0)),""))</f>
        <v/>
      </c>
      <c r="I38" s="12" t="str">
        <f aca="false">IF($A38="","",A38&amp;"|"&amp;COUNTIF($A$8:A38,A38))</f>
        <v/>
      </c>
    </row>
    <row r="39" customFormat="false" ht="15" hidden="false" customHeight="false" outlineLevel="0" collapsed="false">
      <c r="A39" s="16"/>
      <c r="B39" s="16"/>
      <c r="C39" s="16"/>
      <c r="D39" s="29"/>
      <c r="E39" s="17"/>
      <c r="F39" s="13" t="str">
        <f aca="false">IF($A39="","",D39*E39)</f>
        <v/>
      </c>
      <c r="G39" s="16"/>
      <c r="H39" s="13" t="str">
        <f aca="false">IF($G39="","",IFERROR(INDEX(AHSP!$I$4:$I$43,MATCH(G39,AHSP!$B$4:$B$43,0)),""))</f>
        <v/>
      </c>
      <c r="I39" s="12" t="str">
        <f aca="false">IF($A39="","",A39&amp;"|"&amp;COUNTIF($A$8:A39,A39))</f>
        <v/>
      </c>
    </row>
    <row r="40" customFormat="false" ht="15" hidden="false" customHeight="false" outlineLevel="0" collapsed="false">
      <c r="A40" s="16"/>
      <c r="B40" s="16"/>
      <c r="C40" s="16"/>
      <c r="D40" s="29"/>
      <c r="E40" s="17"/>
      <c r="F40" s="13" t="str">
        <f aca="false">IF($A40="","",D40*E40)</f>
        <v/>
      </c>
      <c r="G40" s="16"/>
      <c r="H40" s="13" t="str">
        <f aca="false">IF($G40="","",IFERROR(INDEX(AHSP!$I$4:$I$43,MATCH(G40,AHSP!$B$4:$B$43,0)),""))</f>
        <v/>
      </c>
      <c r="I40" s="12" t="str">
        <f aca="false">IF($A40="","",A40&amp;"|"&amp;COUNTIF($A$8:A40,A40))</f>
        <v/>
      </c>
    </row>
    <row r="41" customFormat="false" ht="15" hidden="false" customHeight="false" outlineLevel="0" collapsed="false">
      <c r="A41" s="16"/>
      <c r="B41" s="16"/>
      <c r="C41" s="16"/>
      <c r="D41" s="29"/>
      <c r="E41" s="17"/>
      <c r="F41" s="13" t="str">
        <f aca="false">IF($A41="","",D41*E41)</f>
        <v/>
      </c>
      <c r="G41" s="16"/>
      <c r="H41" s="13" t="str">
        <f aca="false">IF($G41="","",IFERROR(INDEX(AHSP!$I$4:$I$43,MATCH(G41,AHSP!$B$4:$B$43,0)),""))</f>
        <v/>
      </c>
      <c r="I41" s="12" t="str">
        <f aca="false">IF($A41="","",A41&amp;"|"&amp;COUNTIF($A$8:A41,A41))</f>
        <v/>
      </c>
    </row>
    <row r="42" customFormat="false" ht="15" hidden="false" customHeight="false" outlineLevel="0" collapsed="false">
      <c r="A42" s="16"/>
      <c r="B42" s="16"/>
      <c r="C42" s="16"/>
      <c r="D42" s="29"/>
      <c r="E42" s="17"/>
      <c r="F42" s="13" t="str">
        <f aca="false">IF($A42="","",D42*E42)</f>
        <v/>
      </c>
      <c r="G42" s="16"/>
      <c r="H42" s="13" t="str">
        <f aca="false">IF($G42="","",IFERROR(INDEX(AHSP!$I$4:$I$43,MATCH(G42,AHSP!$B$4:$B$43,0)),""))</f>
        <v/>
      </c>
      <c r="I42" s="12" t="str">
        <f aca="false">IF($A42="","",A42&amp;"|"&amp;COUNTIF($A$8:A42,A42))</f>
        <v/>
      </c>
    </row>
    <row r="43" customFormat="false" ht="15" hidden="false" customHeight="false" outlineLevel="0" collapsed="false">
      <c r="A43" s="16"/>
      <c r="B43" s="16"/>
      <c r="C43" s="16"/>
      <c r="D43" s="29"/>
      <c r="E43" s="17"/>
      <c r="F43" s="13" t="str">
        <f aca="false">IF($A43="","",D43*E43)</f>
        <v/>
      </c>
      <c r="G43" s="16"/>
      <c r="H43" s="13" t="str">
        <f aca="false">IF($G43="","",IFERROR(INDEX(AHSP!$I$4:$I$43,MATCH(G43,AHSP!$B$4:$B$43,0)),""))</f>
        <v/>
      </c>
      <c r="I43" s="12" t="str">
        <f aca="false">IF($A43="","",A43&amp;"|"&amp;COUNTIF($A$8:A43,A43))</f>
        <v/>
      </c>
    </row>
    <row r="44" customFormat="false" ht="15" hidden="false" customHeight="false" outlineLevel="0" collapsed="false">
      <c r="A44" s="16"/>
      <c r="B44" s="16"/>
      <c r="C44" s="16"/>
      <c r="D44" s="29"/>
      <c r="E44" s="17"/>
      <c r="F44" s="13" t="str">
        <f aca="false">IF($A44="","",D44*E44)</f>
        <v/>
      </c>
      <c r="G44" s="16"/>
      <c r="H44" s="13" t="str">
        <f aca="false">IF($G44="","",IFERROR(INDEX(AHSP!$I$4:$I$43,MATCH(G44,AHSP!$B$4:$B$43,0)),""))</f>
        <v/>
      </c>
      <c r="I44" s="12" t="str">
        <f aca="false">IF($A44="","",A44&amp;"|"&amp;COUNTIF($A$8:A44,A44))</f>
        <v/>
      </c>
    </row>
    <row r="45" customFormat="false" ht="15" hidden="false" customHeight="false" outlineLevel="0" collapsed="false">
      <c r="A45" s="16"/>
      <c r="B45" s="16"/>
      <c r="C45" s="16"/>
      <c r="D45" s="29"/>
      <c r="E45" s="17"/>
      <c r="F45" s="13" t="str">
        <f aca="false">IF($A45="","",D45*E45)</f>
        <v/>
      </c>
      <c r="G45" s="16"/>
      <c r="H45" s="13" t="str">
        <f aca="false">IF($G45="","",IFERROR(INDEX(AHSP!$I$4:$I$43,MATCH(G45,AHSP!$B$4:$B$43,0)),""))</f>
        <v/>
      </c>
      <c r="I45" s="12" t="str">
        <f aca="false">IF($A45="","",A45&amp;"|"&amp;COUNTIF($A$8:A45,A45))</f>
        <v/>
      </c>
    </row>
    <row r="46" customFormat="false" ht="15" hidden="false" customHeight="false" outlineLevel="0" collapsed="false">
      <c r="A46" s="16"/>
      <c r="B46" s="16"/>
      <c r="C46" s="16"/>
      <c r="D46" s="29"/>
      <c r="E46" s="17"/>
      <c r="F46" s="13" t="str">
        <f aca="false">IF($A46="","",D46*E46)</f>
        <v/>
      </c>
      <c r="G46" s="16"/>
      <c r="H46" s="13" t="str">
        <f aca="false">IF($G46="","",IFERROR(INDEX(AHSP!$I$4:$I$43,MATCH(G46,AHSP!$B$4:$B$43,0)),""))</f>
        <v/>
      </c>
      <c r="I46" s="12" t="str">
        <f aca="false">IF($A46="","",A46&amp;"|"&amp;COUNTIF($A$8:A46,A46))</f>
        <v/>
      </c>
    </row>
    <row r="47" customFormat="false" ht="15" hidden="false" customHeight="false" outlineLevel="0" collapsed="false">
      <c r="A47" s="16"/>
      <c r="B47" s="16"/>
      <c r="C47" s="16"/>
      <c r="D47" s="29"/>
      <c r="E47" s="17"/>
      <c r="F47" s="13" t="str">
        <f aca="false">IF($A47="","",D47*E47)</f>
        <v/>
      </c>
      <c r="G47" s="16"/>
      <c r="H47" s="13" t="str">
        <f aca="false">IF($G47="","",IFERROR(INDEX(AHSP!$I$4:$I$43,MATCH(G47,AHSP!$B$4:$B$43,0)),""))</f>
        <v/>
      </c>
      <c r="I47" s="12" t="str">
        <f aca="false">IF($A47="","",A47&amp;"|"&amp;COUNTIF($A$8:A47,A47))</f>
        <v/>
      </c>
    </row>
    <row r="48" customFormat="false" ht="15" hidden="false" customHeight="false" outlineLevel="0" collapsed="false">
      <c r="A48" s="16"/>
      <c r="B48" s="16"/>
      <c r="C48" s="16"/>
      <c r="D48" s="29"/>
      <c r="E48" s="17"/>
      <c r="F48" s="13" t="str">
        <f aca="false">IF($A48="","",D48*E48)</f>
        <v/>
      </c>
      <c r="G48" s="16"/>
      <c r="H48" s="13" t="str">
        <f aca="false">IF($G48="","",IFERROR(INDEX(AHSP!$I$4:$I$43,MATCH(G48,AHSP!$B$4:$B$43,0)),""))</f>
        <v/>
      </c>
      <c r="I48" s="12" t="str">
        <f aca="false">IF($A48="","",A48&amp;"|"&amp;COUNTIF($A$8:A48,A48))</f>
        <v/>
      </c>
    </row>
    <row r="49" customFormat="false" ht="15" hidden="false" customHeight="false" outlineLevel="0" collapsed="false">
      <c r="A49" s="16"/>
      <c r="B49" s="16"/>
      <c r="C49" s="16"/>
      <c r="D49" s="29"/>
      <c r="E49" s="17"/>
      <c r="F49" s="13" t="str">
        <f aca="false">IF($A49="","",D49*E49)</f>
        <v/>
      </c>
      <c r="G49" s="16"/>
      <c r="H49" s="13" t="str">
        <f aca="false">IF($G49="","",IFERROR(INDEX(AHSP!$I$4:$I$43,MATCH(G49,AHSP!$B$4:$B$43,0)),""))</f>
        <v/>
      </c>
      <c r="I49" s="12" t="str">
        <f aca="false">IF($A49="","",A49&amp;"|"&amp;COUNTIF($A$8:A49,A49))</f>
        <v/>
      </c>
    </row>
    <row r="50" customFormat="false" ht="15" hidden="false" customHeight="false" outlineLevel="0" collapsed="false">
      <c r="A50" s="16"/>
      <c r="B50" s="16"/>
      <c r="C50" s="16"/>
      <c r="D50" s="29"/>
      <c r="E50" s="17"/>
      <c r="F50" s="13" t="str">
        <f aca="false">IF($A50="","",D50*E50)</f>
        <v/>
      </c>
      <c r="G50" s="16"/>
      <c r="H50" s="13" t="str">
        <f aca="false">IF($G50="","",IFERROR(INDEX(AHSP!$I$4:$I$43,MATCH(G50,AHSP!$B$4:$B$43,0)),""))</f>
        <v/>
      </c>
      <c r="I50" s="12" t="str">
        <f aca="false">IF($A50="","",A50&amp;"|"&amp;COUNTIF($A$8:A50,A50))</f>
        <v/>
      </c>
    </row>
    <row r="51" customFormat="false" ht="15" hidden="false" customHeight="false" outlineLevel="0" collapsed="false">
      <c r="A51" s="16"/>
      <c r="B51" s="16"/>
      <c r="C51" s="16"/>
      <c r="D51" s="29"/>
      <c r="E51" s="17"/>
      <c r="F51" s="13" t="str">
        <f aca="false">IF($A51="","",D51*E51)</f>
        <v/>
      </c>
      <c r="G51" s="16"/>
      <c r="H51" s="13" t="str">
        <f aca="false">IF($G51="","",IFERROR(INDEX(AHSP!$I$4:$I$43,MATCH(G51,AHSP!$B$4:$B$43,0)),""))</f>
        <v/>
      </c>
      <c r="I51" s="12" t="str">
        <f aca="false">IF($A51="","",A51&amp;"|"&amp;COUNTIF($A$8:A51,A51))</f>
        <v/>
      </c>
    </row>
    <row r="52" customFormat="false" ht="15" hidden="false" customHeight="false" outlineLevel="0" collapsed="false">
      <c r="A52" s="16"/>
      <c r="B52" s="16"/>
      <c r="C52" s="16"/>
      <c r="D52" s="29"/>
      <c r="E52" s="17"/>
      <c r="F52" s="13" t="str">
        <f aca="false">IF($A52="","",D52*E52)</f>
        <v/>
      </c>
      <c r="G52" s="16"/>
      <c r="H52" s="13" t="str">
        <f aca="false">IF($G52="","",IFERROR(INDEX(AHSP!$I$4:$I$43,MATCH(G52,AHSP!$B$4:$B$43,0)),""))</f>
        <v/>
      </c>
      <c r="I52" s="12" t="str">
        <f aca="false">IF($A52="","",A52&amp;"|"&amp;COUNTIF($A$8:A52,A52))</f>
        <v/>
      </c>
    </row>
    <row r="53" customFormat="false" ht="15" hidden="false" customHeight="false" outlineLevel="0" collapsed="false">
      <c r="A53" s="16"/>
      <c r="B53" s="16"/>
      <c r="C53" s="16"/>
      <c r="D53" s="29"/>
      <c r="E53" s="17"/>
      <c r="F53" s="13" t="str">
        <f aca="false">IF($A53="","",D53*E53)</f>
        <v/>
      </c>
      <c r="G53" s="16"/>
      <c r="H53" s="13" t="str">
        <f aca="false">IF($G53="","",IFERROR(INDEX(AHSP!$I$4:$I$43,MATCH(G53,AHSP!$B$4:$B$43,0)),""))</f>
        <v/>
      </c>
      <c r="I53" s="12" t="str">
        <f aca="false">IF($A53="","",A53&amp;"|"&amp;COUNTIF($A$8:A53,A53))</f>
        <v/>
      </c>
    </row>
    <row r="54" customFormat="false" ht="15" hidden="false" customHeight="false" outlineLevel="0" collapsed="false">
      <c r="A54" s="16"/>
      <c r="B54" s="16"/>
      <c r="C54" s="16"/>
      <c r="D54" s="29"/>
      <c r="E54" s="17"/>
      <c r="F54" s="13" t="str">
        <f aca="false">IF($A54="","",D54*E54)</f>
        <v/>
      </c>
      <c r="G54" s="16"/>
      <c r="H54" s="13" t="str">
        <f aca="false">IF($G54="","",IFERROR(INDEX(AHSP!$I$4:$I$43,MATCH(G54,AHSP!$B$4:$B$43,0)),""))</f>
        <v/>
      </c>
      <c r="I54" s="12" t="str">
        <f aca="false">IF($A54="","",A54&amp;"|"&amp;COUNTIF($A$8:A54,A54))</f>
        <v/>
      </c>
    </row>
    <row r="55" customFormat="false" ht="15" hidden="false" customHeight="false" outlineLevel="0" collapsed="false">
      <c r="A55" s="16"/>
      <c r="B55" s="16"/>
      <c r="C55" s="16"/>
      <c r="D55" s="29"/>
      <c r="E55" s="17"/>
      <c r="F55" s="13" t="str">
        <f aca="false">IF($A55="","",D55*E55)</f>
        <v/>
      </c>
      <c r="G55" s="16"/>
      <c r="H55" s="13" t="str">
        <f aca="false">IF($G55="","",IFERROR(INDEX(AHSP!$I$4:$I$43,MATCH(G55,AHSP!$B$4:$B$43,0)),""))</f>
        <v/>
      </c>
      <c r="I55" s="12" t="str">
        <f aca="false">IF($A55="","",A55&amp;"|"&amp;COUNTIF($A$8:A55,A55))</f>
        <v/>
      </c>
    </row>
    <row r="56" customFormat="false" ht="15" hidden="false" customHeight="false" outlineLevel="0" collapsed="false">
      <c r="A56" s="16"/>
      <c r="B56" s="16"/>
      <c r="C56" s="16"/>
      <c r="D56" s="29"/>
      <c r="E56" s="17"/>
      <c r="F56" s="13" t="str">
        <f aca="false">IF($A56="","",D56*E56)</f>
        <v/>
      </c>
      <c r="G56" s="16"/>
      <c r="H56" s="13" t="str">
        <f aca="false">IF($G56="","",IFERROR(INDEX(AHSP!$I$4:$I$43,MATCH(G56,AHSP!$B$4:$B$43,0)),""))</f>
        <v/>
      </c>
      <c r="I56" s="12" t="str">
        <f aca="false">IF($A56="","",A56&amp;"|"&amp;COUNTIF($A$8:A56,A56))</f>
        <v/>
      </c>
    </row>
    <row r="57" customFormat="false" ht="15" hidden="false" customHeight="false" outlineLevel="0" collapsed="false">
      <c r="A57" s="16"/>
      <c r="B57" s="16"/>
      <c r="C57" s="16"/>
      <c r="D57" s="29"/>
      <c r="E57" s="17"/>
      <c r="F57" s="13" t="str">
        <f aca="false">IF($A57="","",D57*E57)</f>
        <v/>
      </c>
      <c r="G57" s="16"/>
      <c r="H57" s="13" t="str">
        <f aca="false">IF($G57="","",IFERROR(INDEX(AHSP!$I$4:$I$43,MATCH(G57,AHSP!$B$4:$B$43,0)),""))</f>
        <v/>
      </c>
      <c r="I57" s="12" t="str">
        <f aca="false">IF($A57="","",A57&amp;"|"&amp;COUNTIF($A$8:A57,A57))</f>
        <v/>
      </c>
    </row>
    <row r="58" customFormat="false" ht="15" hidden="false" customHeight="false" outlineLevel="0" collapsed="false">
      <c r="A58" s="16"/>
      <c r="B58" s="16"/>
      <c r="C58" s="16"/>
      <c r="D58" s="29"/>
      <c r="E58" s="17"/>
      <c r="F58" s="13" t="str">
        <f aca="false">IF($A58="","",D58*E58)</f>
        <v/>
      </c>
      <c r="G58" s="16"/>
      <c r="H58" s="13" t="str">
        <f aca="false">IF($G58="","",IFERROR(INDEX(AHSP!$I$4:$I$43,MATCH(G58,AHSP!$B$4:$B$43,0)),""))</f>
        <v/>
      </c>
      <c r="I58" s="12" t="str">
        <f aca="false">IF($A58="","",A58&amp;"|"&amp;COUNTIF($A$8:A58,A58))</f>
        <v/>
      </c>
    </row>
    <row r="59" customFormat="false" ht="15" hidden="false" customHeight="false" outlineLevel="0" collapsed="false">
      <c r="A59" s="16"/>
      <c r="B59" s="16"/>
      <c r="C59" s="16"/>
      <c r="D59" s="29"/>
      <c r="E59" s="17"/>
      <c r="F59" s="13" t="str">
        <f aca="false">IF($A59="","",D59*E59)</f>
        <v/>
      </c>
      <c r="G59" s="16"/>
      <c r="H59" s="13" t="str">
        <f aca="false">IF($G59="","",IFERROR(INDEX(AHSP!$I$4:$I$43,MATCH(G59,AHSP!$B$4:$B$43,0)),""))</f>
        <v/>
      </c>
      <c r="I59" s="12" t="str">
        <f aca="false">IF($A59="","",A59&amp;"|"&amp;COUNTIF($A$8:A59,A59))</f>
        <v/>
      </c>
    </row>
    <row r="60" customFormat="false" ht="15" hidden="false" customHeight="false" outlineLevel="0" collapsed="false">
      <c r="A60" s="16"/>
      <c r="B60" s="16"/>
      <c r="C60" s="16"/>
      <c r="D60" s="29"/>
      <c r="E60" s="17"/>
      <c r="F60" s="13" t="str">
        <f aca="false">IF($A60="","",D60*E60)</f>
        <v/>
      </c>
      <c r="G60" s="16"/>
      <c r="H60" s="13" t="str">
        <f aca="false">IF($G60="","",IFERROR(INDEX(AHSP!$I$4:$I$43,MATCH(G60,AHSP!$B$4:$B$43,0)),""))</f>
        <v/>
      </c>
      <c r="I60" s="12" t="str">
        <f aca="false">IF($A60="","",A60&amp;"|"&amp;COUNTIF($A$8:A60,A60))</f>
        <v/>
      </c>
    </row>
    <row r="61" customFormat="false" ht="15" hidden="false" customHeight="false" outlineLevel="0" collapsed="false">
      <c r="A61" s="16"/>
      <c r="B61" s="16"/>
      <c r="C61" s="16"/>
      <c r="D61" s="29"/>
      <c r="E61" s="17"/>
      <c r="F61" s="13" t="str">
        <f aca="false">IF($A61="","",D61*E61)</f>
        <v/>
      </c>
      <c r="G61" s="16"/>
      <c r="H61" s="13" t="str">
        <f aca="false">IF($G61="","",IFERROR(INDEX(AHSP!$I$4:$I$43,MATCH(G61,AHSP!$B$4:$B$43,0)),""))</f>
        <v/>
      </c>
      <c r="I61" s="12" t="str">
        <f aca="false">IF($A61="","",A61&amp;"|"&amp;COUNTIF($A$8:A61,A61))</f>
        <v/>
      </c>
    </row>
    <row r="62" customFormat="false" ht="15" hidden="false" customHeight="false" outlineLevel="0" collapsed="false">
      <c r="A62" s="16"/>
      <c r="B62" s="16"/>
      <c r="C62" s="16"/>
      <c r="D62" s="29"/>
      <c r="E62" s="17"/>
      <c r="F62" s="13" t="str">
        <f aca="false">IF($A62="","",D62*E62)</f>
        <v/>
      </c>
      <c r="G62" s="16"/>
      <c r="H62" s="13" t="str">
        <f aca="false">IF($G62="","",IFERROR(INDEX(AHSP!$I$4:$I$43,MATCH(G62,AHSP!$B$4:$B$43,0)),""))</f>
        <v/>
      </c>
      <c r="I62" s="12" t="str">
        <f aca="false">IF($A62="","",A62&amp;"|"&amp;COUNTIF($A$8:A62,A62))</f>
        <v/>
      </c>
    </row>
    <row r="63" customFormat="false" ht="15" hidden="false" customHeight="false" outlineLevel="0" collapsed="false">
      <c r="A63" s="16"/>
      <c r="B63" s="16"/>
      <c r="C63" s="16"/>
      <c r="D63" s="29"/>
      <c r="E63" s="17"/>
      <c r="F63" s="13" t="str">
        <f aca="false">IF($A63="","",D63*E63)</f>
        <v/>
      </c>
      <c r="G63" s="16"/>
      <c r="H63" s="13" t="str">
        <f aca="false">IF($G63="","",IFERROR(INDEX(AHSP!$I$4:$I$43,MATCH(G63,AHSP!$B$4:$B$43,0)),""))</f>
        <v/>
      </c>
      <c r="I63" s="12" t="str">
        <f aca="false">IF($A63="","",A63&amp;"|"&amp;COUNTIF($A$8:A63,A63))</f>
        <v/>
      </c>
    </row>
    <row r="64" customFormat="false" ht="15" hidden="false" customHeight="false" outlineLevel="0" collapsed="false">
      <c r="A64" s="16"/>
      <c r="B64" s="16"/>
      <c r="C64" s="16"/>
      <c r="D64" s="29"/>
      <c r="E64" s="17"/>
      <c r="F64" s="13" t="str">
        <f aca="false">IF($A64="","",D64*E64)</f>
        <v/>
      </c>
      <c r="G64" s="16"/>
      <c r="H64" s="13" t="str">
        <f aca="false">IF($G64="","",IFERROR(INDEX(AHSP!$I$4:$I$43,MATCH(G64,AHSP!$B$4:$B$43,0)),""))</f>
        <v/>
      </c>
      <c r="I64" s="12" t="str">
        <f aca="false">IF($A64="","",A64&amp;"|"&amp;COUNTIF($A$8:A64,A64))</f>
        <v/>
      </c>
    </row>
    <row r="65" customFormat="false" ht="15" hidden="false" customHeight="false" outlineLevel="0" collapsed="false">
      <c r="A65" s="16"/>
      <c r="B65" s="16"/>
      <c r="C65" s="16"/>
      <c r="D65" s="29"/>
      <c r="E65" s="17"/>
      <c r="F65" s="13" t="str">
        <f aca="false">IF($A65="","",D65*E65)</f>
        <v/>
      </c>
      <c r="G65" s="16"/>
      <c r="H65" s="13" t="str">
        <f aca="false">IF($G65="","",IFERROR(INDEX(AHSP!$I$4:$I$43,MATCH(G65,AHSP!$B$4:$B$43,0)),""))</f>
        <v/>
      </c>
      <c r="I65" s="12" t="str">
        <f aca="false">IF($A65="","",A65&amp;"|"&amp;COUNTIF($A$8:A65,A65))</f>
        <v/>
      </c>
    </row>
    <row r="66" customFormat="false" ht="15" hidden="false" customHeight="false" outlineLevel="0" collapsed="false">
      <c r="A66" s="16"/>
      <c r="B66" s="16"/>
      <c r="C66" s="16"/>
      <c r="D66" s="29"/>
      <c r="E66" s="17"/>
      <c r="F66" s="13" t="str">
        <f aca="false">IF($A66="","",D66*E66)</f>
        <v/>
      </c>
      <c r="G66" s="16"/>
      <c r="H66" s="13" t="str">
        <f aca="false">IF($G66="","",IFERROR(INDEX(AHSP!$I$4:$I$43,MATCH(G66,AHSP!$B$4:$B$43,0)),""))</f>
        <v/>
      </c>
      <c r="I66" s="12" t="str">
        <f aca="false">IF($A66="","",A66&amp;"|"&amp;COUNTIF($A$8:A66,A66))</f>
        <v/>
      </c>
    </row>
    <row r="67" customFormat="false" ht="15" hidden="false" customHeight="false" outlineLevel="0" collapsed="false">
      <c r="A67" s="16"/>
      <c r="B67" s="16"/>
      <c r="C67" s="16"/>
      <c r="D67" s="29"/>
      <c r="E67" s="17"/>
      <c r="F67" s="13" t="str">
        <f aca="false">IF($A67="","",D67*E67)</f>
        <v/>
      </c>
      <c r="G67" s="16"/>
      <c r="H67" s="13" t="str">
        <f aca="false">IF($G67="","",IFERROR(INDEX(AHSP!$I$4:$I$43,MATCH(G67,AHSP!$B$4:$B$43,0)),""))</f>
        <v/>
      </c>
      <c r="I67" s="12" t="str">
        <f aca="false">IF($A67="","",A67&amp;"|"&amp;COUNTIF($A$8:A67,A67))</f>
        <v/>
      </c>
    </row>
    <row r="68" customFormat="false" ht="15" hidden="false" customHeight="false" outlineLevel="0" collapsed="false">
      <c r="A68" s="16"/>
      <c r="B68" s="16"/>
      <c r="C68" s="16"/>
      <c r="D68" s="29"/>
      <c r="E68" s="17"/>
      <c r="F68" s="13" t="str">
        <f aca="false">IF($A68="","",D68*E68)</f>
        <v/>
      </c>
      <c r="G68" s="16"/>
      <c r="H68" s="13" t="str">
        <f aca="false">IF($G68="","",IFERROR(INDEX(AHSP!$I$4:$I$43,MATCH(G68,AHSP!$B$4:$B$43,0)),""))</f>
        <v/>
      </c>
      <c r="I68" s="12" t="str">
        <f aca="false">IF($A68="","",A68&amp;"|"&amp;COUNTIF($A$8:A68,A68))</f>
        <v/>
      </c>
    </row>
    <row r="69" customFormat="false" ht="15" hidden="false" customHeight="false" outlineLevel="0" collapsed="false">
      <c r="A69" s="16"/>
      <c r="B69" s="16"/>
      <c r="C69" s="16"/>
      <c r="D69" s="29"/>
      <c r="E69" s="17"/>
      <c r="F69" s="13" t="str">
        <f aca="false">IF($A69="","",D69*E69)</f>
        <v/>
      </c>
      <c r="G69" s="16"/>
      <c r="H69" s="13" t="str">
        <f aca="false">IF($G69="","",IFERROR(INDEX(AHSP!$I$4:$I$43,MATCH(G69,AHSP!$B$4:$B$43,0)),""))</f>
        <v/>
      </c>
      <c r="I69" s="12" t="str">
        <f aca="false">IF($A69="","",A69&amp;"|"&amp;COUNTIF($A$8:A69,A69))</f>
        <v/>
      </c>
    </row>
    <row r="70" customFormat="false" ht="15" hidden="false" customHeight="false" outlineLevel="0" collapsed="false">
      <c r="A70" s="16"/>
      <c r="B70" s="16"/>
      <c r="C70" s="16"/>
      <c r="D70" s="29"/>
      <c r="E70" s="17"/>
      <c r="F70" s="13" t="str">
        <f aca="false">IF($A70="","",D70*E70)</f>
        <v/>
      </c>
      <c r="G70" s="16"/>
      <c r="H70" s="13" t="str">
        <f aca="false">IF($G70="","",IFERROR(INDEX(AHSP!$I$4:$I$43,MATCH(G70,AHSP!$B$4:$B$43,0)),""))</f>
        <v/>
      </c>
      <c r="I70" s="12" t="str">
        <f aca="false">IF($A70="","",A70&amp;"|"&amp;COUNTIF($A$8:A70,A70))</f>
        <v/>
      </c>
    </row>
    <row r="71" customFormat="false" ht="15" hidden="false" customHeight="false" outlineLevel="0" collapsed="false">
      <c r="A71" s="16"/>
      <c r="B71" s="16"/>
      <c r="C71" s="16"/>
      <c r="D71" s="29"/>
      <c r="E71" s="17"/>
      <c r="F71" s="13" t="str">
        <f aca="false">IF($A71="","",D71*E71)</f>
        <v/>
      </c>
      <c r="G71" s="16"/>
      <c r="H71" s="13" t="str">
        <f aca="false">IF($G71="","",IFERROR(INDEX(AHSP!$I$4:$I$43,MATCH(G71,AHSP!$B$4:$B$43,0)),""))</f>
        <v/>
      </c>
      <c r="I71" s="12" t="str">
        <f aca="false">IF($A71="","",A71&amp;"|"&amp;COUNTIF($A$8:A71,A71))</f>
        <v/>
      </c>
    </row>
    <row r="72" customFormat="false" ht="15" hidden="false" customHeight="false" outlineLevel="0" collapsed="false">
      <c r="A72" s="16"/>
      <c r="B72" s="16"/>
      <c r="C72" s="16"/>
      <c r="D72" s="29"/>
      <c r="E72" s="17"/>
      <c r="F72" s="13" t="str">
        <f aca="false">IF($A72="","",D72*E72)</f>
        <v/>
      </c>
      <c r="G72" s="16"/>
      <c r="H72" s="13" t="str">
        <f aca="false">IF($G72="","",IFERROR(INDEX(AHSP!$I$4:$I$43,MATCH(G72,AHSP!$B$4:$B$43,0)),""))</f>
        <v/>
      </c>
      <c r="I72" s="12" t="str">
        <f aca="false">IF($A72="","",A72&amp;"|"&amp;COUNTIF($A$8:A72,A72))</f>
        <v/>
      </c>
    </row>
    <row r="73" customFormat="false" ht="15" hidden="false" customHeight="false" outlineLevel="0" collapsed="false">
      <c r="A73" s="16"/>
      <c r="B73" s="16"/>
      <c r="C73" s="16"/>
      <c r="D73" s="29"/>
      <c r="E73" s="17"/>
      <c r="F73" s="13" t="str">
        <f aca="false">IF($A73="","",D73*E73)</f>
        <v/>
      </c>
      <c r="G73" s="16"/>
      <c r="H73" s="13" t="str">
        <f aca="false">IF($G73="","",IFERROR(INDEX(AHSP!$I$4:$I$43,MATCH(G73,AHSP!$B$4:$B$43,0)),""))</f>
        <v/>
      </c>
      <c r="I73" s="12" t="str">
        <f aca="false">IF($A73="","",A73&amp;"|"&amp;COUNTIF($A$8:A73,A73))</f>
        <v/>
      </c>
    </row>
    <row r="74" customFormat="false" ht="15" hidden="false" customHeight="false" outlineLevel="0" collapsed="false">
      <c r="A74" s="16"/>
      <c r="B74" s="16"/>
      <c r="C74" s="16"/>
      <c r="D74" s="29"/>
      <c r="E74" s="17"/>
      <c r="F74" s="13" t="str">
        <f aca="false">IF($A74="","",D74*E74)</f>
        <v/>
      </c>
      <c r="G74" s="16"/>
      <c r="H74" s="13" t="str">
        <f aca="false">IF($G74="","",IFERROR(INDEX(AHSP!$I$4:$I$43,MATCH(G74,AHSP!$B$4:$B$43,0)),""))</f>
        <v/>
      </c>
      <c r="I74" s="12" t="str">
        <f aca="false">IF($A74="","",A74&amp;"|"&amp;COUNTIF($A$8:A74,A74))</f>
        <v/>
      </c>
    </row>
    <row r="75" customFormat="false" ht="15" hidden="false" customHeight="false" outlineLevel="0" collapsed="false">
      <c r="A75" s="16"/>
      <c r="B75" s="16"/>
      <c r="C75" s="16"/>
      <c r="D75" s="29"/>
      <c r="E75" s="17"/>
      <c r="F75" s="13" t="str">
        <f aca="false">IF($A75="","",D75*E75)</f>
        <v/>
      </c>
      <c r="G75" s="16"/>
      <c r="H75" s="13" t="str">
        <f aca="false">IF($G75="","",IFERROR(INDEX(AHSP!$I$4:$I$43,MATCH(G75,AHSP!$B$4:$B$43,0)),""))</f>
        <v/>
      </c>
      <c r="I75" s="12" t="str">
        <f aca="false">IF($A75="","",A75&amp;"|"&amp;COUNTIF($A$8:A75,A75))</f>
        <v/>
      </c>
    </row>
    <row r="76" customFormat="false" ht="15" hidden="false" customHeight="false" outlineLevel="0" collapsed="false">
      <c r="A76" s="16"/>
      <c r="B76" s="16"/>
      <c r="C76" s="16"/>
      <c r="D76" s="29"/>
      <c r="E76" s="17"/>
      <c r="F76" s="13" t="str">
        <f aca="false">IF($A76="","",D76*E76)</f>
        <v/>
      </c>
      <c r="G76" s="16"/>
      <c r="H76" s="13" t="str">
        <f aca="false">IF($G76="","",IFERROR(INDEX(AHSP!$I$4:$I$43,MATCH(G76,AHSP!$B$4:$B$43,0)),""))</f>
        <v/>
      </c>
      <c r="I76" s="12" t="str">
        <f aca="false">IF($A76="","",A76&amp;"|"&amp;COUNTIF($A$8:A76,A76))</f>
        <v/>
      </c>
    </row>
    <row r="77" customFormat="false" ht="15" hidden="false" customHeight="false" outlineLevel="0" collapsed="false">
      <c r="A77" s="16"/>
      <c r="B77" s="16"/>
      <c r="C77" s="16"/>
      <c r="D77" s="29"/>
      <c r="E77" s="17"/>
      <c r="F77" s="13" t="str">
        <f aca="false">IF($A77="","",D77*E77)</f>
        <v/>
      </c>
      <c r="G77" s="16"/>
      <c r="H77" s="13" t="str">
        <f aca="false">IF($G77="","",IFERROR(INDEX(AHSP!$I$4:$I$43,MATCH(G77,AHSP!$B$4:$B$43,0)),""))</f>
        <v/>
      </c>
      <c r="I77" s="12" t="str">
        <f aca="false">IF($A77="","",A77&amp;"|"&amp;COUNTIF($A$8:A77,A77))</f>
        <v/>
      </c>
    </row>
    <row r="78" customFormat="false" ht="15" hidden="false" customHeight="false" outlineLevel="0" collapsed="false">
      <c r="A78" s="16"/>
      <c r="B78" s="16"/>
      <c r="C78" s="16"/>
      <c r="D78" s="29"/>
      <c r="E78" s="17"/>
      <c r="F78" s="13" t="str">
        <f aca="false">IF($A78="","",D78*E78)</f>
        <v/>
      </c>
      <c r="G78" s="16"/>
      <c r="H78" s="13" t="str">
        <f aca="false">IF($G78="","",IFERROR(INDEX(AHSP!$I$4:$I$43,MATCH(G78,AHSP!$B$4:$B$43,0)),""))</f>
        <v/>
      </c>
      <c r="I78" s="12" t="str">
        <f aca="false">IF($A78="","",A78&amp;"|"&amp;COUNTIF($A$8:A78,A78))</f>
        <v/>
      </c>
    </row>
    <row r="79" customFormat="false" ht="15" hidden="false" customHeight="false" outlineLevel="0" collapsed="false">
      <c r="A79" s="16"/>
      <c r="B79" s="16"/>
      <c r="C79" s="16"/>
      <c r="D79" s="29"/>
      <c r="E79" s="17"/>
      <c r="F79" s="13" t="str">
        <f aca="false">IF($A79="","",D79*E79)</f>
        <v/>
      </c>
      <c r="G79" s="16"/>
      <c r="H79" s="13" t="str">
        <f aca="false">IF($G79="","",IFERROR(INDEX(AHSP!$I$4:$I$43,MATCH(G79,AHSP!$B$4:$B$43,0)),""))</f>
        <v/>
      </c>
      <c r="I79" s="12" t="str">
        <f aca="false">IF($A79="","",A79&amp;"|"&amp;COUNTIF($A$8:A79,A79))</f>
        <v/>
      </c>
    </row>
    <row r="80" customFormat="false" ht="15" hidden="false" customHeight="false" outlineLevel="0" collapsed="false">
      <c r="A80" s="16"/>
      <c r="B80" s="16"/>
      <c r="C80" s="16"/>
      <c r="D80" s="29"/>
      <c r="E80" s="17"/>
      <c r="F80" s="13" t="str">
        <f aca="false">IF($A80="","",D80*E80)</f>
        <v/>
      </c>
      <c r="G80" s="16"/>
      <c r="H80" s="13" t="str">
        <f aca="false">IF($G80="","",IFERROR(INDEX(AHSP!$I$4:$I$43,MATCH(G80,AHSP!$B$4:$B$43,0)),""))</f>
        <v/>
      </c>
      <c r="I80" s="12" t="str">
        <f aca="false">IF($A80="","",A80&amp;"|"&amp;COUNTIF($A$8:A80,A80))</f>
        <v/>
      </c>
    </row>
    <row r="81" customFormat="false" ht="15" hidden="false" customHeight="false" outlineLevel="0" collapsed="false">
      <c r="A81" s="16"/>
      <c r="B81" s="16"/>
      <c r="C81" s="16"/>
      <c r="D81" s="29"/>
      <c r="E81" s="17"/>
      <c r="F81" s="13" t="str">
        <f aca="false">IF($A81="","",D81*E81)</f>
        <v/>
      </c>
      <c r="G81" s="16"/>
      <c r="H81" s="13" t="str">
        <f aca="false">IF($G81="","",IFERROR(INDEX(AHSP!$I$4:$I$43,MATCH(G81,AHSP!$B$4:$B$43,0)),""))</f>
        <v/>
      </c>
      <c r="I81" s="12" t="str">
        <f aca="false">IF($A81="","",A81&amp;"|"&amp;COUNTIF($A$8:A81,A81))</f>
        <v/>
      </c>
    </row>
    <row r="82" customFormat="false" ht="15" hidden="false" customHeight="false" outlineLevel="0" collapsed="false">
      <c r="A82" s="16"/>
      <c r="B82" s="16"/>
      <c r="C82" s="16"/>
      <c r="D82" s="29"/>
      <c r="E82" s="17"/>
      <c r="F82" s="13" t="str">
        <f aca="false">IF($A82="","",D82*E82)</f>
        <v/>
      </c>
      <c r="G82" s="16"/>
      <c r="H82" s="13" t="str">
        <f aca="false">IF($G82="","",IFERROR(INDEX(AHSP!$I$4:$I$43,MATCH(G82,AHSP!$B$4:$B$43,0)),""))</f>
        <v/>
      </c>
      <c r="I82" s="12" t="str">
        <f aca="false">IF($A82="","",A82&amp;"|"&amp;COUNTIF($A$8:A82,A82))</f>
        <v/>
      </c>
    </row>
    <row r="83" customFormat="false" ht="15" hidden="false" customHeight="false" outlineLevel="0" collapsed="false">
      <c r="A83" s="16"/>
      <c r="B83" s="16"/>
      <c r="C83" s="16"/>
      <c r="D83" s="29"/>
      <c r="E83" s="17"/>
      <c r="F83" s="13" t="str">
        <f aca="false">IF($A83="","",D83*E83)</f>
        <v/>
      </c>
      <c r="G83" s="16"/>
      <c r="H83" s="13" t="str">
        <f aca="false">IF($G83="","",IFERROR(INDEX(AHSP!$I$4:$I$43,MATCH(G83,AHSP!$B$4:$B$43,0)),""))</f>
        <v/>
      </c>
      <c r="I83" s="12" t="str">
        <f aca="false">IF($A83="","",A83&amp;"|"&amp;COUNTIF($A$8:A83,A83))</f>
        <v/>
      </c>
    </row>
    <row r="84" customFormat="false" ht="15" hidden="false" customHeight="false" outlineLevel="0" collapsed="false">
      <c r="A84" s="16"/>
      <c r="B84" s="16"/>
      <c r="C84" s="16"/>
      <c r="D84" s="29"/>
      <c r="E84" s="17"/>
      <c r="F84" s="13" t="str">
        <f aca="false">IF($A84="","",D84*E84)</f>
        <v/>
      </c>
      <c r="G84" s="16"/>
      <c r="H84" s="13" t="str">
        <f aca="false">IF($G84="","",IFERROR(INDEX(AHSP!$I$4:$I$43,MATCH(G84,AHSP!$B$4:$B$43,0)),""))</f>
        <v/>
      </c>
      <c r="I84" s="12" t="str">
        <f aca="false">IF($A84="","",A84&amp;"|"&amp;COUNTIF($A$8:A84,A84))</f>
        <v/>
      </c>
    </row>
    <row r="85" customFormat="false" ht="15" hidden="false" customHeight="false" outlineLevel="0" collapsed="false">
      <c r="A85" s="16"/>
      <c r="B85" s="16"/>
      <c r="C85" s="16"/>
      <c r="D85" s="29"/>
      <c r="E85" s="17"/>
      <c r="F85" s="13" t="str">
        <f aca="false">IF($A85="","",D85*E85)</f>
        <v/>
      </c>
      <c r="G85" s="16"/>
      <c r="H85" s="13" t="str">
        <f aca="false">IF($G85="","",IFERROR(INDEX(AHSP!$I$4:$I$43,MATCH(G85,AHSP!$B$4:$B$43,0)),""))</f>
        <v/>
      </c>
      <c r="I85" s="12" t="str">
        <f aca="false">IF($A85="","",A85&amp;"|"&amp;COUNTIF($A$8:A85,A85))</f>
        <v/>
      </c>
    </row>
    <row r="86" customFormat="false" ht="15" hidden="false" customHeight="false" outlineLevel="0" collapsed="false">
      <c r="A86" s="16"/>
      <c r="B86" s="16"/>
      <c r="C86" s="16"/>
      <c r="D86" s="29"/>
      <c r="E86" s="17"/>
      <c r="F86" s="13" t="str">
        <f aca="false">IF($A86="","",D86*E86)</f>
        <v/>
      </c>
      <c r="G86" s="16"/>
      <c r="H86" s="13" t="str">
        <f aca="false">IF($G86="","",IFERROR(INDEX(AHSP!$I$4:$I$43,MATCH(G86,AHSP!$B$4:$B$43,0)),""))</f>
        <v/>
      </c>
      <c r="I86" s="12" t="str">
        <f aca="false">IF($A86="","",A86&amp;"|"&amp;COUNTIF($A$8:A86,A86))</f>
        <v/>
      </c>
    </row>
    <row r="87" customFormat="false" ht="15" hidden="false" customHeight="false" outlineLevel="0" collapsed="false">
      <c r="A87" s="16"/>
      <c r="B87" s="16"/>
      <c r="C87" s="16"/>
      <c r="D87" s="29"/>
      <c r="E87" s="17"/>
      <c r="F87" s="13" t="str">
        <f aca="false">IF($A87="","",D87*E87)</f>
        <v/>
      </c>
      <c r="G87" s="16"/>
      <c r="H87" s="13" t="str">
        <f aca="false">IF($G87="","",IFERROR(INDEX(AHSP!$I$4:$I$43,MATCH(G87,AHSP!$B$4:$B$43,0)),""))</f>
        <v/>
      </c>
      <c r="I87" s="12" t="str">
        <f aca="false">IF($A87="","",A87&amp;"|"&amp;COUNTIF($A$8:A87,A87))</f>
        <v/>
      </c>
    </row>
    <row r="88" customFormat="false" ht="15" hidden="false" customHeight="false" outlineLevel="0" collapsed="false">
      <c r="A88" s="16"/>
      <c r="B88" s="16"/>
      <c r="C88" s="16"/>
      <c r="D88" s="29"/>
      <c r="E88" s="17"/>
      <c r="F88" s="13" t="str">
        <f aca="false">IF($A88="","",D88*E88)</f>
        <v/>
      </c>
      <c r="G88" s="16"/>
      <c r="H88" s="13" t="str">
        <f aca="false">IF($G88="","",IFERROR(INDEX(AHSP!$I$4:$I$43,MATCH(G88,AHSP!$B$4:$B$43,0)),""))</f>
        <v/>
      </c>
      <c r="I88" s="12" t="str">
        <f aca="false">IF($A88="","",A88&amp;"|"&amp;COUNTIF($A$8:A88,A88))</f>
        <v/>
      </c>
    </row>
    <row r="89" customFormat="false" ht="15" hidden="false" customHeight="false" outlineLevel="0" collapsed="false">
      <c r="A89" s="16"/>
      <c r="B89" s="16"/>
      <c r="C89" s="16"/>
      <c r="D89" s="29"/>
      <c r="E89" s="17"/>
      <c r="F89" s="13" t="str">
        <f aca="false">IF($A89="","",D89*E89)</f>
        <v/>
      </c>
      <c r="G89" s="16"/>
      <c r="H89" s="13" t="str">
        <f aca="false">IF($G89="","",IFERROR(INDEX(AHSP!$I$4:$I$43,MATCH(G89,AHSP!$B$4:$B$43,0)),""))</f>
        <v/>
      </c>
      <c r="I89" s="12" t="str">
        <f aca="false">IF($A89="","",A89&amp;"|"&amp;COUNTIF($A$8:A89,A89))</f>
        <v/>
      </c>
    </row>
    <row r="90" customFormat="false" ht="15" hidden="false" customHeight="false" outlineLevel="0" collapsed="false">
      <c r="A90" s="16"/>
      <c r="B90" s="16"/>
      <c r="C90" s="16"/>
      <c r="D90" s="29"/>
      <c r="E90" s="17"/>
      <c r="F90" s="13" t="str">
        <f aca="false">IF($A90="","",D90*E90)</f>
        <v/>
      </c>
      <c r="G90" s="16"/>
      <c r="H90" s="13" t="str">
        <f aca="false">IF($G90="","",IFERROR(INDEX(AHSP!$I$4:$I$43,MATCH(G90,AHSP!$B$4:$B$43,0)),""))</f>
        <v/>
      </c>
      <c r="I90" s="12" t="str">
        <f aca="false">IF($A90="","",A90&amp;"|"&amp;COUNTIF($A$8:A90,A90))</f>
        <v/>
      </c>
    </row>
    <row r="91" customFormat="false" ht="15" hidden="false" customHeight="false" outlineLevel="0" collapsed="false">
      <c r="A91" s="16"/>
      <c r="B91" s="16"/>
      <c r="C91" s="16"/>
      <c r="D91" s="29"/>
      <c r="E91" s="17"/>
      <c r="F91" s="13" t="str">
        <f aca="false">IF($A91="","",D91*E91)</f>
        <v/>
      </c>
      <c r="G91" s="16"/>
      <c r="H91" s="13" t="str">
        <f aca="false">IF($G91="","",IFERROR(INDEX(AHSP!$I$4:$I$43,MATCH(G91,AHSP!$B$4:$B$43,0)),""))</f>
        <v/>
      </c>
      <c r="I91" s="12" t="str">
        <f aca="false">IF($A91="","",A91&amp;"|"&amp;COUNTIF($A$8:A91,A91))</f>
        <v/>
      </c>
    </row>
    <row r="92" customFormat="false" ht="15" hidden="false" customHeight="false" outlineLevel="0" collapsed="false">
      <c r="A92" s="16"/>
      <c r="B92" s="16"/>
      <c r="C92" s="16"/>
      <c r="D92" s="29"/>
      <c r="E92" s="17"/>
      <c r="F92" s="13" t="str">
        <f aca="false">IF($A92="","",D92*E92)</f>
        <v/>
      </c>
      <c r="G92" s="16"/>
      <c r="H92" s="13" t="str">
        <f aca="false">IF($G92="","",IFERROR(INDEX(AHSP!$I$4:$I$43,MATCH(G92,AHSP!$B$4:$B$43,0)),""))</f>
        <v/>
      </c>
      <c r="I92" s="12" t="str">
        <f aca="false">IF($A92="","",A92&amp;"|"&amp;COUNTIF($A$8:A92,A92))</f>
        <v/>
      </c>
    </row>
    <row r="93" customFormat="false" ht="15" hidden="false" customHeight="false" outlineLevel="0" collapsed="false">
      <c r="A93" s="16"/>
      <c r="B93" s="16"/>
      <c r="C93" s="16"/>
      <c r="D93" s="29"/>
      <c r="E93" s="17"/>
      <c r="F93" s="13" t="str">
        <f aca="false">IF($A93="","",D93*E93)</f>
        <v/>
      </c>
      <c r="G93" s="16"/>
      <c r="H93" s="13" t="str">
        <f aca="false">IF($G93="","",IFERROR(INDEX(AHSP!$I$4:$I$43,MATCH(G93,AHSP!$B$4:$B$43,0)),""))</f>
        <v/>
      </c>
      <c r="I93" s="12" t="str">
        <f aca="false">IF($A93="","",A93&amp;"|"&amp;COUNTIF($A$8:A93,A93))</f>
        <v/>
      </c>
    </row>
    <row r="94" customFormat="false" ht="15" hidden="false" customHeight="false" outlineLevel="0" collapsed="false">
      <c r="A94" s="16"/>
      <c r="B94" s="16"/>
      <c r="C94" s="16"/>
      <c r="D94" s="29"/>
      <c r="E94" s="17"/>
      <c r="F94" s="13" t="str">
        <f aca="false">IF($A94="","",D94*E94)</f>
        <v/>
      </c>
      <c r="G94" s="16"/>
      <c r="H94" s="13" t="str">
        <f aca="false">IF($G94="","",IFERROR(INDEX(AHSP!$I$4:$I$43,MATCH(G94,AHSP!$B$4:$B$43,0)),""))</f>
        <v/>
      </c>
      <c r="I94" s="12" t="str">
        <f aca="false">IF($A94="","",A94&amp;"|"&amp;COUNTIF($A$8:A94,A94))</f>
        <v/>
      </c>
    </row>
    <row r="95" customFormat="false" ht="15" hidden="false" customHeight="false" outlineLevel="0" collapsed="false">
      <c r="A95" s="16"/>
      <c r="B95" s="16"/>
      <c r="C95" s="16"/>
      <c r="D95" s="29"/>
      <c r="E95" s="17"/>
      <c r="F95" s="13" t="str">
        <f aca="false">IF($A95="","",D95*E95)</f>
        <v/>
      </c>
      <c r="G95" s="16"/>
      <c r="H95" s="13" t="str">
        <f aca="false">IF($G95="","",IFERROR(INDEX(AHSP!$I$4:$I$43,MATCH(G95,AHSP!$B$4:$B$43,0)),""))</f>
        <v/>
      </c>
      <c r="I95" s="12" t="str">
        <f aca="false">IF($A95="","",A95&amp;"|"&amp;COUNTIF($A$8:A95,A95))</f>
        <v/>
      </c>
    </row>
    <row r="96" customFormat="false" ht="15" hidden="false" customHeight="false" outlineLevel="0" collapsed="false">
      <c r="A96" s="16"/>
      <c r="B96" s="16"/>
      <c r="C96" s="16"/>
      <c r="D96" s="29"/>
      <c r="E96" s="17"/>
      <c r="F96" s="13" t="str">
        <f aca="false">IF($A96="","",D96*E96)</f>
        <v/>
      </c>
      <c r="G96" s="16"/>
      <c r="H96" s="13" t="str">
        <f aca="false">IF($G96="","",IFERROR(INDEX(AHSP!$I$4:$I$43,MATCH(G96,AHSP!$B$4:$B$43,0)),""))</f>
        <v/>
      </c>
      <c r="I96" s="12" t="str">
        <f aca="false">IF($A96="","",A96&amp;"|"&amp;COUNTIF($A$8:A96,A96))</f>
        <v/>
      </c>
    </row>
    <row r="97" customFormat="false" ht="15" hidden="false" customHeight="false" outlineLevel="0" collapsed="false">
      <c r="A97" s="16"/>
      <c r="B97" s="16"/>
      <c r="C97" s="16"/>
      <c r="D97" s="29"/>
      <c r="E97" s="17"/>
      <c r="F97" s="13" t="str">
        <f aca="false">IF($A97="","",D97*E97)</f>
        <v/>
      </c>
      <c r="G97" s="16"/>
      <c r="H97" s="13" t="str">
        <f aca="false">IF($G97="","",IFERROR(INDEX(AHSP!$I$4:$I$43,MATCH(G97,AHSP!$B$4:$B$43,0)),""))</f>
        <v/>
      </c>
      <c r="I97" s="12" t="str">
        <f aca="false">IF($A97="","",A97&amp;"|"&amp;COUNTIF($A$8:A97,A97))</f>
        <v/>
      </c>
    </row>
    <row r="98" customFormat="false" ht="15" hidden="false" customHeight="false" outlineLevel="0" collapsed="false">
      <c r="A98" s="16"/>
      <c r="B98" s="16"/>
      <c r="C98" s="16"/>
      <c r="D98" s="29"/>
      <c r="E98" s="17"/>
      <c r="F98" s="13" t="str">
        <f aca="false">IF($A98="","",D98*E98)</f>
        <v/>
      </c>
      <c r="G98" s="16"/>
      <c r="H98" s="13" t="str">
        <f aca="false">IF($G98="","",IFERROR(INDEX(AHSP!$I$4:$I$43,MATCH(G98,AHSP!$B$4:$B$43,0)),""))</f>
        <v/>
      </c>
      <c r="I98" s="12" t="str">
        <f aca="false">IF($A98="","",A98&amp;"|"&amp;COUNTIF($A$8:A98,A98))</f>
        <v/>
      </c>
    </row>
    <row r="99" customFormat="false" ht="15" hidden="false" customHeight="false" outlineLevel="0" collapsed="false">
      <c r="A99" s="16"/>
      <c r="B99" s="16"/>
      <c r="C99" s="16"/>
      <c r="D99" s="29"/>
      <c r="E99" s="17"/>
      <c r="F99" s="13" t="str">
        <f aca="false">IF($A99="","",D99*E99)</f>
        <v/>
      </c>
      <c r="G99" s="16"/>
      <c r="H99" s="13" t="str">
        <f aca="false">IF($G99="","",IFERROR(INDEX(AHSP!$I$4:$I$43,MATCH(G99,AHSP!$B$4:$B$43,0)),""))</f>
        <v/>
      </c>
      <c r="I99" s="12" t="str">
        <f aca="false">IF($A99="","",A99&amp;"|"&amp;COUNTIF($A$8:A99,A99))</f>
        <v/>
      </c>
    </row>
    <row r="100" customFormat="false" ht="15" hidden="false" customHeight="false" outlineLevel="0" collapsed="false">
      <c r="A100" s="16"/>
      <c r="B100" s="16"/>
      <c r="C100" s="16"/>
      <c r="D100" s="29"/>
      <c r="E100" s="17"/>
      <c r="F100" s="13" t="str">
        <f aca="false">IF($A100="","",D100*E100)</f>
        <v/>
      </c>
      <c r="G100" s="16"/>
      <c r="H100" s="13" t="str">
        <f aca="false">IF($G100="","",IFERROR(INDEX(AHSP!$I$4:$I$43,MATCH(G100,AHSP!$B$4:$B$43,0)),""))</f>
        <v/>
      </c>
      <c r="I100" s="12" t="str">
        <f aca="false">IF($A100="","",A100&amp;"|"&amp;COUNTIF($A$8:A100,A100))</f>
        <v/>
      </c>
    </row>
    <row r="101" customFormat="false" ht="15" hidden="false" customHeight="false" outlineLevel="0" collapsed="false">
      <c r="A101" s="16"/>
      <c r="B101" s="16"/>
      <c r="C101" s="16"/>
      <c r="D101" s="29"/>
      <c r="E101" s="17"/>
      <c r="F101" s="13" t="str">
        <f aca="false">IF($A101="","",D101*E101)</f>
        <v/>
      </c>
      <c r="G101" s="16"/>
      <c r="H101" s="13" t="str">
        <f aca="false">IF($G101="","",IFERROR(INDEX(AHSP!$I$4:$I$43,MATCH(G101,AHSP!$B$4:$B$43,0)),""))</f>
        <v/>
      </c>
      <c r="I101" s="12" t="str">
        <f aca="false">IF($A101="","",A101&amp;"|"&amp;COUNTIF($A$8:A101,A101))</f>
        <v/>
      </c>
    </row>
    <row r="102" customFormat="false" ht="15" hidden="false" customHeight="false" outlineLevel="0" collapsed="false">
      <c r="A102" s="16"/>
      <c r="B102" s="16"/>
      <c r="C102" s="16"/>
      <c r="D102" s="29"/>
      <c r="E102" s="17"/>
      <c r="F102" s="13" t="str">
        <f aca="false">IF($A102="","",D102*E102)</f>
        <v/>
      </c>
      <c r="G102" s="16"/>
      <c r="H102" s="13" t="str">
        <f aca="false">IF($G102="","",IFERROR(INDEX(AHSP!$I$4:$I$43,MATCH(G102,AHSP!$B$4:$B$43,0)),""))</f>
        <v/>
      </c>
      <c r="I102" s="12" t="str">
        <f aca="false">IF($A102="","",A102&amp;"|"&amp;COUNTIF($A$8:A102,A102))</f>
        <v/>
      </c>
    </row>
    <row r="103" customFormat="false" ht="15" hidden="false" customHeight="false" outlineLevel="0" collapsed="false">
      <c r="A103" s="16"/>
      <c r="B103" s="16"/>
      <c r="C103" s="16"/>
      <c r="D103" s="29"/>
      <c r="E103" s="17"/>
      <c r="F103" s="13" t="str">
        <f aca="false">IF($A103="","",D103*E103)</f>
        <v/>
      </c>
      <c r="G103" s="16"/>
      <c r="H103" s="13" t="str">
        <f aca="false">IF($G103="","",IFERROR(INDEX(AHSP!$I$4:$I$43,MATCH(G103,AHSP!$B$4:$B$43,0)),""))</f>
        <v/>
      </c>
      <c r="I103" s="12" t="str">
        <f aca="false">IF($A103="","",A103&amp;"|"&amp;COUNTIF($A$8:A103,A103))</f>
        <v/>
      </c>
    </row>
    <row r="104" customFormat="false" ht="15" hidden="false" customHeight="false" outlineLevel="0" collapsed="false">
      <c r="A104" s="16"/>
      <c r="B104" s="16"/>
      <c r="C104" s="16"/>
      <c r="D104" s="29"/>
      <c r="E104" s="17"/>
      <c r="F104" s="13" t="str">
        <f aca="false">IF($A104="","",D104*E104)</f>
        <v/>
      </c>
      <c r="G104" s="16"/>
      <c r="H104" s="13" t="str">
        <f aca="false">IF($G104="","",IFERROR(INDEX(AHSP!$I$4:$I$43,MATCH(G104,AHSP!$B$4:$B$43,0)),""))</f>
        <v/>
      </c>
      <c r="I104" s="12" t="str">
        <f aca="false">IF($A104="","",A104&amp;"|"&amp;COUNTIF($A$8:A104,A104))</f>
        <v/>
      </c>
    </row>
    <row r="105" customFormat="false" ht="15" hidden="false" customHeight="false" outlineLevel="0" collapsed="false">
      <c r="A105" s="16"/>
      <c r="B105" s="16"/>
      <c r="C105" s="16"/>
      <c r="D105" s="29"/>
      <c r="E105" s="17"/>
      <c r="F105" s="13" t="str">
        <f aca="false">IF($A105="","",D105*E105)</f>
        <v/>
      </c>
      <c r="G105" s="16"/>
      <c r="H105" s="13" t="str">
        <f aca="false">IF($G105="","",IFERROR(INDEX(AHSP!$I$4:$I$43,MATCH(G105,AHSP!$B$4:$B$43,0)),""))</f>
        <v/>
      </c>
      <c r="I105" s="12" t="str">
        <f aca="false">IF($A105="","",A105&amp;"|"&amp;COUNTIF($A$8:A105,A105))</f>
        <v/>
      </c>
    </row>
    <row r="106" customFormat="false" ht="15" hidden="false" customHeight="false" outlineLevel="0" collapsed="false">
      <c r="A106" s="16"/>
      <c r="B106" s="16"/>
      <c r="C106" s="16"/>
      <c r="D106" s="29"/>
      <c r="E106" s="17"/>
      <c r="F106" s="13" t="str">
        <f aca="false">IF($A106="","",D106*E106)</f>
        <v/>
      </c>
      <c r="G106" s="16"/>
      <c r="H106" s="13" t="str">
        <f aca="false">IF($G106="","",IFERROR(INDEX(AHSP!$I$4:$I$43,MATCH(G106,AHSP!$B$4:$B$43,0)),""))</f>
        <v/>
      </c>
      <c r="I106" s="12" t="str">
        <f aca="false">IF($A106="","",A106&amp;"|"&amp;COUNTIF($A$8:A106,A106))</f>
        <v/>
      </c>
    </row>
    <row r="107" customFormat="false" ht="15" hidden="false" customHeight="false" outlineLevel="0" collapsed="false">
      <c r="A107" s="16"/>
      <c r="B107" s="16"/>
      <c r="C107" s="16"/>
      <c r="D107" s="29"/>
      <c r="E107" s="17"/>
      <c r="F107" s="13" t="str">
        <f aca="false">IF($A107="","",D107*E107)</f>
        <v/>
      </c>
      <c r="G107" s="16"/>
      <c r="H107" s="13" t="str">
        <f aca="false">IF($G107="","",IFERROR(INDEX(AHSP!$I$4:$I$43,MATCH(G107,AHSP!$B$4:$B$43,0)),""))</f>
        <v/>
      </c>
      <c r="I107" s="12" t="str">
        <f aca="false">IF($A107="","",A107&amp;"|"&amp;COUNTIF($A$8:A107,A107))</f>
        <v/>
      </c>
    </row>
    <row r="108" customFormat="false" ht="15" hidden="false" customHeight="false" outlineLevel="0" collapsed="false">
      <c r="A108" s="16"/>
      <c r="B108" s="16"/>
      <c r="C108" s="16"/>
      <c r="D108" s="29"/>
      <c r="E108" s="17"/>
      <c r="F108" s="13" t="str">
        <f aca="false">IF($A108="","",D108*E108)</f>
        <v/>
      </c>
      <c r="G108" s="16"/>
      <c r="H108" s="13" t="str">
        <f aca="false">IF($G108="","",IFERROR(INDEX(AHSP!$I$4:$I$43,MATCH(G108,AHSP!$B$4:$B$43,0)),""))</f>
        <v/>
      </c>
      <c r="I108" s="12" t="str">
        <f aca="false">IF($A108="","",A108&amp;"|"&amp;COUNTIF($A$8:A108,A108))</f>
        <v/>
      </c>
    </row>
    <row r="109" customFormat="false" ht="15" hidden="false" customHeight="false" outlineLevel="0" collapsed="false">
      <c r="A109" s="16"/>
      <c r="B109" s="16"/>
      <c r="C109" s="16"/>
      <c r="D109" s="29"/>
      <c r="E109" s="17"/>
      <c r="F109" s="13" t="str">
        <f aca="false">IF($A109="","",D109*E109)</f>
        <v/>
      </c>
      <c r="G109" s="16"/>
      <c r="H109" s="13" t="str">
        <f aca="false">IF($G109="","",IFERROR(INDEX(AHSP!$I$4:$I$43,MATCH(G109,AHSP!$B$4:$B$43,0)),""))</f>
        <v/>
      </c>
      <c r="I109" s="12" t="str">
        <f aca="false">IF($A109="","",A109&amp;"|"&amp;COUNTIF($A$8:A109,A109))</f>
        <v/>
      </c>
    </row>
    <row r="110" customFormat="false" ht="15" hidden="false" customHeight="false" outlineLevel="0" collapsed="false">
      <c r="A110" s="16"/>
      <c r="B110" s="16"/>
      <c r="C110" s="16"/>
      <c r="D110" s="29"/>
      <c r="E110" s="17"/>
      <c r="F110" s="13" t="str">
        <f aca="false">IF($A110="","",D110*E110)</f>
        <v/>
      </c>
      <c r="G110" s="16"/>
      <c r="H110" s="13" t="str">
        <f aca="false">IF($G110="","",IFERROR(INDEX(AHSP!$I$4:$I$43,MATCH(G110,AHSP!$B$4:$B$43,0)),""))</f>
        <v/>
      </c>
      <c r="I110" s="12" t="str">
        <f aca="false">IF($A110="","",A110&amp;"|"&amp;COUNTIF($A$8:A110,A110))</f>
        <v/>
      </c>
    </row>
    <row r="111" customFormat="false" ht="15" hidden="false" customHeight="false" outlineLevel="0" collapsed="false">
      <c r="A111" s="16"/>
      <c r="B111" s="16"/>
      <c r="C111" s="16"/>
      <c r="D111" s="29"/>
      <c r="E111" s="17"/>
      <c r="F111" s="13" t="str">
        <f aca="false">IF($A111="","",D111*E111)</f>
        <v/>
      </c>
      <c r="G111" s="16"/>
      <c r="H111" s="13" t="str">
        <f aca="false">IF($G111="","",IFERROR(INDEX(AHSP!$I$4:$I$43,MATCH(G111,AHSP!$B$4:$B$43,0)),""))</f>
        <v/>
      </c>
      <c r="I111" s="12" t="str">
        <f aca="false">IF($A111="","",A111&amp;"|"&amp;COUNTIF($A$8:A111,A111))</f>
        <v/>
      </c>
    </row>
    <row r="112" customFormat="false" ht="15" hidden="false" customHeight="false" outlineLevel="0" collapsed="false">
      <c r="A112" s="16"/>
      <c r="B112" s="16"/>
      <c r="C112" s="16"/>
      <c r="D112" s="29"/>
      <c r="E112" s="17"/>
      <c r="F112" s="13" t="str">
        <f aca="false">IF($A112="","",D112*E112)</f>
        <v/>
      </c>
      <c r="G112" s="16"/>
      <c r="H112" s="13" t="str">
        <f aca="false">IF($G112="","",IFERROR(INDEX(AHSP!$I$4:$I$43,MATCH(G112,AHSP!$B$4:$B$43,0)),""))</f>
        <v/>
      </c>
      <c r="I112" s="12" t="str">
        <f aca="false">IF($A112="","",A112&amp;"|"&amp;COUNTIF($A$8:A112,A112))</f>
        <v/>
      </c>
    </row>
    <row r="113" customFormat="false" ht="15" hidden="false" customHeight="false" outlineLevel="0" collapsed="false">
      <c r="A113" s="16"/>
      <c r="B113" s="16"/>
      <c r="C113" s="16"/>
      <c r="D113" s="29"/>
      <c r="E113" s="17"/>
      <c r="F113" s="13" t="str">
        <f aca="false">IF($A113="","",D113*E113)</f>
        <v/>
      </c>
      <c r="G113" s="16"/>
      <c r="H113" s="13" t="str">
        <f aca="false">IF($G113="","",IFERROR(INDEX(AHSP!$I$4:$I$43,MATCH(G113,AHSP!$B$4:$B$43,0)),""))</f>
        <v/>
      </c>
      <c r="I113" s="12" t="str">
        <f aca="false">IF($A113="","",A113&amp;"|"&amp;COUNTIF($A$8:A113,A113))</f>
        <v/>
      </c>
    </row>
    <row r="114" customFormat="false" ht="15" hidden="false" customHeight="false" outlineLevel="0" collapsed="false">
      <c r="A114" s="16"/>
      <c r="B114" s="16"/>
      <c r="C114" s="16"/>
      <c r="D114" s="29"/>
      <c r="E114" s="17"/>
      <c r="F114" s="13" t="str">
        <f aca="false">IF($A114="","",D114*E114)</f>
        <v/>
      </c>
      <c r="G114" s="16"/>
      <c r="H114" s="13" t="str">
        <f aca="false">IF($G114="","",IFERROR(INDEX(AHSP!$I$4:$I$43,MATCH(G114,AHSP!$B$4:$B$43,0)),""))</f>
        <v/>
      </c>
      <c r="I114" s="12" t="str">
        <f aca="false">IF($A114="","",A114&amp;"|"&amp;COUNTIF($A$8:A114,A114))</f>
        <v/>
      </c>
    </row>
    <row r="115" customFormat="false" ht="15" hidden="false" customHeight="false" outlineLevel="0" collapsed="false">
      <c r="A115" s="16"/>
      <c r="B115" s="16"/>
      <c r="C115" s="16"/>
      <c r="D115" s="29"/>
      <c r="E115" s="17"/>
      <c r="F115" s="13" t="str">
        <f aca="false">IF($A115="","",D115*E115)</f>
        <v/>
      </c>
      <c r="G115" s="16"/>
      <c r="H115" s="13" t="str">
        <f aca="false">IF($G115="","",IFERROR(INDEX(AHSP!$I$4:$I$43,MATCH(G115,AHSP!$B$4:$B$43,0)),""))</f>
        <v/>
      </c>
      <c r="I115" s="12" t="str">
        <f aca="false">IF($A115="","",A115&amp;"|"&amp;COUNTIF($A$8:A115,A115))</f>
        <v/>
      </c>
    </row>
    <row r="116" customFormat="false" ht="15" hidden="false" customHeight="false" outlineLevel="0" collapsed="false">
      <c r="A116" s="16"/>
      <c r="B116" s="16"/>
      <c r="C116" s="16"/>
      <c r="D116" s="29"/>
      <c r="E116" s="17"/>
      <c r="F116" s="13" t="str">
        <f aca="false">IF($A116="","",D116*E116)</f>
        <v/>
      </c>
      <c r="G116" s="16"/>
      <c r="H116" s="13" t="str">
        <f aca="false">IF($G116="","",IFERROR(INDEX(AHSP!$I$4:$I$43,MATCH(G116,AHSP!$B$4:$B$43,0)),""))</f>
        <v/>
      </c>
      <c r="I116" s="12" t="str">
        <f aca="false">IF($A116="","",A116&amp;"|"&amp;COUNTIF($A$8:A116,A116))</f>
        <v/>
      </c>
    </row>
    <row r="117" customFormat="false" ht="15" hidden="false" customHeight="false" outlineLevel="0" collapsed="false">
      <c r="A117" s="16"/>
      <c r="B117" s="16"/>
      <c r="C117" s="16"/>
      <c r="D117" s="29"/>
      <c r="E117" s="17"/>
      <c r="F117" s="13" t="str">
        <f aca="false">IF($A117="","",D117*E117)</f>
        <v/>
      </c>
      <c r="G117" s="16"/>
      <c r="H117" s="13" t="str">
        <f aca="false">IF($G117="","",IFERROR(INDEX(AHSP!$I$4:$I$43,MATCH(G117,AHSP!$B$4:$B$43,0)),""))</f>
        <v/>
      </c>
      <c r="I117" s="12" t="str">
        <f aca="false">IF($A117="","",A117&amp;"|"&amp;COUNTIF($A$8:A117,A117))</f>
        <v/>
      </c>
    </row>
    <row r="118" customFormat="false" ht="15" hidden="false" customHeight="false" outlineLevel="0" collapsed="false">
      <c r="A118" s="16"/>
      <c r="B118" s="16"/>
      <c r="C118" s="16"/>
      <c r="D118" s="29"/>
      <c r="E118" s="17"/>
      <c r="F118" s="13" t="str">
        <f aca="false">IF($A118="","",D118*E118)</f>
        <v/>
      </c>
      <c r="G118" s="16"/>
      <c r="H118" s="13" t="str">
        <f aca="false">IF($G118="","",IFERROR(INDEX(AHSP!$I$4:$I$43,MATCH(G118,AHSP!$B$4:$B$43,0)),""))</f>
        <v/>
      </c>
      <c r="I118" s="12" t="str">
        <f aca="false">IF($A118="","",A118&amp;"|"&amp;COUNTIF($A$8:A118,A118))</f>
        <v/>
      </c>
    </row>
    <row r="119" customFormat="false" ht="15" hidden="false" customHeight="false" outlineLevel="0" collapsed="false">
      <c r="A119" s="16"/>
      <c r="B119" s="16"/>
      <c r="C119" s="16"/>
      <c r="D119" s="29"/>
      <c r="E119" s="17"/>
      <c r="F119" s="13" t="str">
        <f aca="false">IF($A119="","",D119*E119)</f>
        <v/>
      </c>
      <c r="G119" s="16"/>
      <c r="H119" s="13" t="str">
        <f aca="false">IF($G119="","",IFERROR(INDEX(AHSP!$I$4:$I$43,MATCH(G119,AHSP!$B$4:$B$43,0)),""))</f>
        <v/>
      </c>
      <c r="I119" s="12" t="str">
        <f aca="false">IF($A119="","",A119&amp;"|"&amp;COUNTIF($A$8:A119,A119))</f>
        <v/>
      </c>
    </row>
    <row r="120" customFormat="false" ht="15" hidden="false" customHeight="false" outlineLevel="0" collapsed="false">
      <c r="A120" s="16"/>
      <c r="B120" s="16"/>
      <c r="C120" s="16"/>
      <c r="D120" s="29"/>
      <c r="E120" s="17"/>
      <c r="F120" s="13" t="str">
        <f aca="false">IF($A120="","",D120*E120)</f>
        <v/>
      </c>
      <c r="G120" s="16"/>
      <c r="H120" s="13" t="str">
        <f aca="false">IF($G120="","",IFERROR(INDEX(AHSP!$I$4:$I$43,MATCH(G120,AHSP!$B$4:$B$43,0)),""))</f>
        <v/>
      </c>
      <c r="I120" s="12" t="str">
        <f aca="false">IF($A120="","",A120&amp;"|"&amp;COUNTIF($A$8:A120,A120))</f>
        <v/>
      </c>
    </row>
    <row r="121" customFormat="false" ht="15" hidden="false" customHeight="false" outlineLevel="0" collapsed="false">
      <c r="A121" s="16"/>
      <c r="B121" s="16"/>
      <c r="C121" s="16"/>
      <c r="D121" s="29"/>
      <c r="E121" s="17"/>
      <c r="F121" s="13" t="str">
        <f aca="false">IF($A121="","",D121*E121)</f>
        <v/>
      </c>
      <c r="G121" s="16"/>
      <c r="H121" s="13" t="str">
        <f aca="false">IF($G121="","",IFERROR(INDEX(AHSP!$I$4:$I$43,MATCH(G121,AHSP!$B$4:$B$43,0)),""))</f>
        <v/>
      </c>
      <c r="I121" s="12" t="str">
        <f aca="false">IF($A121="","",A121&amp;"|"&amp;COUNTIF($A$8:A121,A121))</f>
        <v/>
      </c>
    </row>
    <row r="122" customFormat="false" ht="15" hidden="false" customHeight="false" outlineLevel="0" collapsed="false">
      <c r="A122" s="16"/>
      <c r="B122" s="16"/>
      <c r="C122" s="16"/>
      <c r="D122" s="29"/>
      <c r="E122" s="17"/>
      <c r="F122" s="13" t="str">
        <f aca="false">IF($A122="","",D122*E122)</f>
        <v/>
      </c>
      <c r="G122" s="16"/>
      <c r="H122" s="13" t="str">
        <f aca="false">IF($G122="","",IFERROR(INDEX(AHSP!$I$4:$I$43,MATCH(G122,AHSP!$B$4:$B$43,0)),""))</f>
        <v/>
      </c>
      <c r="I122" s="12" t="str">
        <f aca="false">IF($A122="","",A122&amp;"|"&amp;COUNTIF($A$8:A122,A122))</f>
        <v/>
      </c>
    </row>
    <row r="123" customFormat="false" ht="15" hidden="false" customHeight="false" outlineLevel="0" collapsed="false">
      <c r="A123" s="16"/>
      <c r="B123" s="16"/>
      <c r="C123" s="16"/>
      <c r="D123" s="29"/>
      <c r="E123" s="17"/>
      <c r="F123" s="13" t="str">
        <f aca="false">IF($A123="","",D123*E123)</f>
        <v/>
      </c>
      <c r="G123" s="16"/>
      <c r="H123" s="13" t="str">
        <f aca="false">IF($G123="","",IFERROR(INDEX(AHSP!$I$4:$I$43,MATCH(G123,AHSP!$B$4:$B$43,0)),""))</f>
        <v/>
      </c>
      <c r="I123" s="12" t="str">
        <f aca="false">IF($A123="","",A123&amp;"|"&amp;COUNTIF($A$8:A123,A123))</f>
        <v/>
      </c>
    </row>
    <row r="124" customFormat="false" ht="15" hidden="false" customHeight="false" outlineLevel="0" collapsed="false">
      <c r="A124" s="16"/>
      <c r="B124" s="16"/>
      <c r="C124" s="16"/>
      <c r="D124" s="29"/>
      <c r="E124" s="17"/>
      <c r="F124" s="13" t="str">
        <f aca="false">IF($A124="","",D124*E124)</f>
        <v/>
      </c>
      <c r="G124" s="16"/>
      <c r="H124" s="13" t="str">
        <f aca="false">IF($G124="","",IFERROR(INDEX(AHSP!$I$4:$I$43,MATCH(G124,AHSP!$B$4:$B$43,0)),""))</f>
        <v/>
      </c>
      <c r="I124" s="12" t="str">
        <f aca="false">IF($A124="","",A124&amp;"|"&amp;COUNTIF($A$8:A124,A124))</f>
        <v/>
      </c>
    </row>
    <row r="125" customFormat="false" ht="15" hidden="false" customHeight="false" outlineLevel="0" collapsed="false">
      <c r="A125" s="16"/>
      <c r="B125" s="16"/>
      <c r="C125" s="16"/>
      <c r="D125" s="29"/>
      <c r="E125" s="17"/>
      <c r="F125" s="13" t="str">
        <f aca="false">IF($A125="","",D125*E125)</f>
        <v/>
      </c>
      <c r="G125" s="16"/>
      <c r="H125" s="13" t="str">
        <f aca="false">IF($G125="","",IFERROR(INDEX(AHSP!$I$4:$I$43,MATCH(G125,AHSP!$B$4:$B$43,0)),""))</f>
        <v/>
      </c>
      <c r="I125" s="12" t="str">
        <f aca="false">IF($A125="","",A125&amp;"|"&amp;COUNTIF($A$8:A125,A125))</f>
        <v/>
      </c>
    </row>
    <row r="126" customFormat="false" ht="15" hidden="false" customHeight="false" outlineLevel="0" collapsed="false">
      <c r="A126" s="16"/>
      <c r="B126" s="16"/>
      <c r="C126" s="16"/>
      <c r="D126" s="29"/>
      <c r="E126" s="17"/>
      <c r="F126" s="13" t="str">
        <f aca="false">IF($A126="","",D126*E126)</f>
        <v/>
      </c>
      <c r="G126" s="16"/>
      <c r="H126" s="13" t="str">
        <f aca="false">IF($G126="","",IFERROR(INDEX(AHSP!$I$4:$I$43,MATCH(G126,AHSP!$B$4:$B$43,0)),""))</f>
        <v/>
      </c>
      <c r="I126" s="12" t="str">
        <f aca="false">IF($A126="","",A126&amp;"|"&amp;COUNTIF($A$8:A126,A126))</f>
        <v/>
      </c>
    </row>
    <row r="127" customFormat="false" ht="15" hidden="false" customHeight="false" outlineLevel="0" collapsed="false">
      <c r="A127" s="16"/>
      <c r="B127" s="16"/>
      <c r="C127" s="16"/>
      <c r="D127" s="29"/>
      <c r="E127" s="17"/>
      <c r="F127" s="13" t="str">
        <f aca="false">IF($A127="","",D127*E127)</f>
        <v/>
      </c>
      <c r="G127" s="16"/>
      <c r="H127" s="13" t="str">
        <f aca="false">IF($G127="","",IFERROR(INDEX(AHSP!$I$4:$I$43,MATCH(G127,AHSP!$B$4:$B$43,0)),""))</f>
        <v/>
      </c>
      <c r="I127" s="12" t="str">
        <f aca="false">IF($A127="","",A127&amp;"|"&amp;COUNTIF($A$8:A127,A127))</f>
        <v/>
      </c>
    </row>
    <row r="128" customFormat="false" ht="15" hidden="false" customHeight="false" outlineLevel="0" collapsed="false">
      <c r="A128" s="16"/>
      <c r="B128" s="16"/>
      <c r="C128" s="16"/>
      <c r="D128" s="29"/>
      <c r="E128" s="17"/>
      <c r="F128" s="13" t="str">
        <f aca="false">IF($A128="","",D128*E128)</f>
        <v/>
      </c>
      <c r="G128" s="16"/>
      <c r="H128" s="13" t="str">
        <f aca="false">IF($G128="","",IFERROR(INDEX(AHSP!$I$4:$I$43,MATCH(G128,AHSP!$B$4:$B$43,0)),""))</f>
        <v/>
      </c>
      <c r="I128" s="12" t="str">
        <f aca="false">IF($A128="","",A128&amp;"|"&amp;COUNTIF($A$8:A128,A128))</f>
        <v/>
      </c>
    </row>
    <row r="129" customFormat="false" ht="15" hidden="false" customHeight="false" outlineLevel="0" collapsed="false">
      <c r="A129" s="16"/>
      <c r="B129" s="16"/>
      <c r="C129" s="16"/>
      <c r="D129" s="29"/>
      <c r="E129" s="17"/>
      <c r="F129" s="13" t="str">
        <f aca="false">IF($A129="","",D129*E129)</f>
        <v/>
      </c>
      <c r="G129" s="16"/>
      <c r="H129" s="13" t="str">
        <f aca="false">IF($G129="","",IFERROR(INDEX(AHSP!$I$4:$I$43,MATCH(G129,AHSP!$B$4:$B$43,0)),""))</f>
        <v/>
      </c>
      <c r="I129" s="12" t="str">
        <f aca="false">IF($A129="","",A129&amp;"|"&amp;COUNTIF($A$8:A129,A129))</f>
        <v/>
      </c>
    </row>
    <row r="130" customFormat="false" ht="15" hidden="false" customHeight="false" outlineLevel="0" collapsed="false">
      <c r="A130" s="16"/>
      <c r="B130" s="16"/>
      <c r="C130" s="16"/>
      <c r="D130" s="29"/>
      <c r="E130" s="17"/>
      <c r="F130" s="13" t="str">
        <f aca="false">IF($A130="","",D130*E130)</f>
        <v/>
      </c>
      <c r="G130" s="16"/>
      <c r="H130" s="13" t="str">
        <f aca="false">IF($G130="","",IFERROR(INDEX(AHSP!$I$4:$I$43,MATCH(G130,AHSP!$B$4:$B$43,0)),""))</f>
        <v/>
      </c>
      <c r="I130" s="12" t="str">
        <f aca="false">IF($A130="","",A130&amp;"|"&amp;COUNTIF($A$8:A130,A130))</f>
        <v/>
      </c>
    </row>
    <row r="131" customFormat="false" ht="15" hidden="false" customHeight="false" outlineLevel="0" collapsed="false">
      <c r="A131" s="16"/>
      <c r="B131" s="16"/>
      <c r="C131" s="16"/>
      <c r="D131" s="29"/>
      <c r="E131" s="17"/>
      <c r="F131" s="13" t="str">
        <f aca="false">IF($A131="","",D131*E131)</f>
        <v/>
      </c>
      <c r="G131" s="16"/>
      <c r="H131" s="13" t="str">
        <f aca="false">IF($G131="","",IFERROR(INDEX(AHSP!$I$4:$I$43,MATCH(G131,AHSP!$B$4:$B$43,0)),""))</f>
        <v/>
      </c>
      <c r="I131" s="12" t="str">
        <f aca="false">IF($A131="","",A131&amp;"|"&amp;COUNTIF($A$8:A131,A131))</f>
        <v/>
      </c>
    </row>
    <row r="132" customFormat="false" ht="15" hidden="false" customHeight="false" outlineLevel="0" collapsed="false">
      <c r="A132" s="16"/>
      <c r="B132" s="16"/>
      <c r="C132" s="16"/>
      <c r="D132" s="29"/>
      <c r="E132" s="17"/>
      <c r="F132" s="13" t="str">
        <f aca="false">IF($A132="","",D132*E132)</f>
        <v/>
      </c>
      <c r="G132" s="16"/>
      <c r="H132" s="13" t="str">
        <f aca="false">IF($G132="","",IFERROR(INDEX(AHSP!$I$4:$I$43,MATCH(G132,AHSP!$B$4:$B$43,0)),""))</f>
        <v/>
      </c>
      <c r="I132" s="12" t="str">
        <f aca="false">IF($A132="","",A132&amp;"|"&amp;COUNTIF($A$8:A132,A132))</f>
        <v/>
      </c>
    </row>
    <row r="133" customFormat="false" ht="15" hidden="false" customHeight="false" outlineLevel="0" collapsed="false">
      <c r="A133" s="16"/>
      <c r="B133" s="16"/>
      <c r="C133" s="16"/>
      <c r="D133" s="29"/>
      <c r="E133" s="17"/>
      <c r="F133" s="13" t="str">
        <f aca="false">IF($A133="","",D133*E133)</f>
        <v/>
      </c>
      <c r="G133" s="16"/>
      <c r="H133" s="13" t="str">
        <f aca="false">IF($G133="","",IFERROR(INDEX(AHSP!$I$4:$I$43,MATCH(G133,AHSP!$B$4:$B$43,0)),""))</f>
        <v/>
      </c>
      <c r="I133" s="12" t="str">
        <f aca="false">IF($A133="","",A133&amp;"|"&amp;COUNTIF($A$8:A133,A133))</f>
        <v/>
      </c>
    </row>
    <row r="134" customFormat="false" ht="15" hidden="false" customHeight="false" outlineLevel="0" collapsed="false">
      <c r="A134" s="16"/>
      <c r="B134" s="16"/>
      <c r="C134" s="16"/>
      <c r="D134" s="29"/>
      <c r="E134" s="17"/>
      <c r="F134" s="13" t="str">
        <f aca="false">IF($A134="","",D134*E134)</f>
        <v/>
      </c>
      <c r="G134" s="16"/>
      <c r="H134" s="13" t="str">
        <f aca="false">IF($G134="","",IFERROR(INDEX(AHSP!$I$4:$I$43,MATCH(G134,AHSP!$B$4:$B$43,0)),""))</f>
        <v/>
      </c>
      <c r="I134" s="12" t="str">
        <f aca="false">IF($A134="","",A134&amp;"|"&amp;COUNTIF($A$8:A134,A134))</f>
        <v/>
      </c>
    </row>
    <row r="135" customFormat="false" ht="15" hidden="false" customHeight="false" outlineLevel="0" collapsed="false">
      <c r="A135" s="16"/>
      <c r="B135" s="16"/>
      <c r="C135" s="16"/>
      <c r="D135" s="29"/>
      <c r="E135" s="17"/>
      <c r="F135" s="13" t="str">
        <f aca="false">IF($A135="","",D135*E135)</f>
        <v/>
      </c>
      <c r="G135" s="16"/>
      <c r="H135" s="13" t="str">
        <f aca="false">IF($G135="","",IFERROR(INDEX(AHSP!$I$4:$I$43,MATCH(G135,AHSP!$B$4:$B$43,0)),""))</f>
        <v/>
      </c>
      <c r="I135" s="12" t="str">
        <f aca="false">IF($A135="","",A135&amp;"|"&amp;COUNTIF($A$8:A135,A135))</f>
        <v/>
      </c>
    </row>
    <row r="136" customFormat="false" ht="15" hidden="false" customHeight="false" outlineLevel="0" collapsed="false">
      <c r="A136" s="16"/>
      <c r="B136" s="16"/>
      <c r="C136" s="16"/>
      <c r="D136" s="29"/>
      <c r="E136" s="17"/>
      <c r="F136" s="13" t="str">
        <f aca="false">IF($A136="","",D136*E136)</f>
        <v/>
      </c>
      <c r="G136" s="16"/>
      <c r="H136" s="13" t="str">
        <f aca="false">IF($G136="","",IFERROR(INDEX(AHSP!$I$4:$I$43,MATCH(G136,AHSP!$B$4:$B$43,0)),""))</f>
        <v/>
      </c>
      <c r="I136" s="12" t="str">
        <f aca="false">IF($A136="","",A136&amp;"|"&amp;COUNTIF($A$8:A136,A136))</f>
        <v/>
      </c>
    </row>
    <row r="137" customFormat="false" ht="15" hidden="false" customHeight="false" outlineLevel="0" collapsed="false">
      <c r="A137" s="16"/>
      <c r="B137" s="16"/>
      <c r="C137" s="16"/>
      <c r="D137" s="29"/>
      <c r="E137" s="17"/>
      <c r="F137" s="13" t="str">
        <f aca="false">IF($A137="","",D137*E137)</f>
        <v/>
      </c>
      <c r="G137" s="16"/>
      <c r="H137" s="13" t="str">
        <f aca="false">IF($G137="","",IFERROR(INDEX(AHSP!$I$4:$I$43,MATCH(G137,AHSP!$B$4:$B$43,0)),""))</f>
        <v/>
      </c>
      <c r="I137" s="12" t="str">
        <f aca="false">IF($A137="","",A137&amp;"|"&amp;COUNTIF($A$8:A137,A137))</f>
        <v/>
      </c>
    </row>
    <row r="138" customFormat="false" ht="15" hidden="false" customHeight="false" outlineLevel="0" collapsed="false">
      <c r="A138" s="16"/>
      <c r="B138" s="16"/>
      <c r="C138" s="16"/>
      <c r="D138" s="29"/>
      <c r="E138" s="17"/>
      <c r="F138" s="13" t="str">
        <f aca="false">IF($A138="","",D138*E138)</f>
        <v/>
      </c>
      <c r="G138" s="16"/>
      <c r="H138" s="13" t="str">
        <f aca="false">IF($G138="","",IFERROR(INDEX(AHSP!$I$4:$I$43,MATCH(G138,AHSP!$B$4:$B$43,0)),""))</f>
        <v/>
      </c>
      <c r="I138" s="12" t="str">
        <f aca="false">IF($A138="","",A138&amp;"|"&amp;COUNTIF($A$8:A138,A138))</f>
        <v/>
      </c>
    </row>
    <row r="139" customFormat="false" ht="15" hidden="false" customHeight="false" outlineLevel="0" collapsed="false">
      <c r="A139" s="16"/>
      <c r="B139" s="16"/>
      <c r="C139" s="16"/>
      <c r="D139" s="29"/>
      <c r="E139" s="17"/>
      <c r="F139" s="13" t="str">
        <f aca="false">IF($A139="","",D139*E139)</f>
        <v/>
      </c>
      <c r="G139" s="16"/>
      <c r="H139" s="13" t="str">
        <f aca="false">IF($G139="","",IFERROR(INDEX(AHSP!$I$4:$I$43,MATCH(G139,AHSP!$B$4:$B$43,0)),""))</f>
        <v/>
      </c>
      <c r="I139" s="12" t="str">
        <f aca="false">IF($A139="","",A139&amp;"|"&amp;COUNTIF($A$8:A139,A139))</f>
        <v/>
      </c>
    </row>
    <row r="140" customFormat="false" ht="15" hidden="false" customHeight="false" outlineLevel="0" collapsed="false">
      <c r="A140" s="16"/>
      <c r="B140" s="16"/>
      <c r="C140" s="16"/>
      <c r="D140" s="29"/>
      <c r="E140" s="17"/>
      <c r="F140" s="13" t="str">
        <f aca="false">IF($A140="","",D140*E140)</f>
        <v/>
      </c>
      <c r="G140" s="16"/>
      <c r="H140" s="13" t="str">
        <f aca="false">IF($G140="","",IFERROR(INDEX(AHSP!$I$4:$I$43,MATCH(G140,AHSP!$B$4:$B$43,0)),""))</f>
        <v/>
      </c>
      <c r="I140" s="12" t="str">
        <f aca="false">IF($A140="","",A140&amp;"|"&amp;COUNTIF($A$8:A140,A140))</f>
        <v/>
      </c>
    </row>
    <row r="141" customFormat="false" ht="15" hidden="false" customHeight="false" outlineLevel="0" collapsed="false">
      <c r="A141" s="16"/>
      <c r="B141" s="16"/>
      <c r="C141" s="16"/>
      <c r="D141" s="29"/>
      <c r="E141" s="17"/>
      <c r="F141" s="13" t="str">
        <f aca="false">IF($A141="","",D141*E141)</f>
        <v/>
      </c>
      <c r="G141" s="16"/>
      <c r="H141" s="13" t="str">
        <f aca="false">IF($G141="","",IFERROR(INDEX(AHSP!$I$4:$I$43,MATCH(G141,AHSP!$B$4:$B$43,0)),""))</f>
        <v/>
      </c>
      <c r="I141" s="12" t="str">
        <f aca="false">IF($A141="","",A141&amp;"|"&amp;COUNTIF($A$8:A141,A141))</f>
        <v/>
      </c>
    </row>
    <row r="142" customFormat="false" ht="15" hidden="false" customHeight="false" outlineLevel="0" collapsed="false">
      <c r="A142" s="16"/>
      <c r="B142" s="16"/>
      <c r="C142" s="16"/>
      <c r="D142" s="29"/>
      <c r="E142" s="17"/>
      <c r="F142" s="13" t="str">
        <f aca="false">IF($A142="","",D142*E142)</f>
        <v/>
      </c>
      <c r="G142" s="16"/>
      <c r="H142" s="13" t="str">
        <f aca="false">IF($G142="","",IFERROR(INDEX(AHSP!$I$4:$I$43,MATCH(G142,AHSP!$B$4:$B$43,0)),""))</f>
        <v/>
      </c>
      <c r="I142" s="12" t="str">
        <f aca="false">IF($A142="","",A142&amp;"|"&amp;COUNTIF($A$8:A142,A142))</f>
        <v/>
      </c>
    </row>
    <row r="143" customFormat="false" ht="15" hidden="false" customHeight="false" outlineLevel="0" collapsed="false">
      <c r="A143" s="16"/>
      <c r="B143" s="16"/>
      <c r="C143" s="16"/>
      <c r="D143" s="29"/>
      <c r="E143" s="17"/>
      <c r="F143" s="13" t="str">
        <f aca="false">IF($A143="","",D143*E143)</f>
        <v/>
      </c>
      <c r="G143" s="16"/>
      <c r="H143" s="13" t="str">
        <f aca="false">IF($G143="","",IFERROR(INDEX(AHSP!$I$4:$I$43,MATCH(G143,AHSP!$B$4:$B$43,0)),""))</f>
        <v/>
      </c>
      <c r="I143" s="12" t="str">
        <f aca="false">IF($A143="","",A143&amp;"|"&amp;COUNTIF($A$8:A143,A143))</f>
        <v/>
      </c>
    </row>
    <row r="144" customFormat="false" ht="15" hidden="false" customHeight="false" outlineLevel="0" collapsed="false">
      <c r="A144" s="16"/>
      <c r="B144" s="16"/>
      <c r="C144" s="16"/>
      <c r="D144" s="29"/>
      <c r="E144" s="17"/>
      <c r="F144" s="13" t="str">
        <f aca="false">IF($A144="","",D144*E144)</f>
        <v/>
      </c>
      <c r="G144" s="16"/>
      <c r="H144" s="13" t="str">
        <f aca="false">IF($G144="","",IFERROR(INDEX(AHSP!$I$4:$I$43,MATCH(G144,AHSP!$B$4:$B$43,0)),""))</f>
        <v/>
      </c>
      <c r="I144" s="12" t="str">
        <f aca="false">IF($A144="","",A144&amp;"|"&amp;COUNTIF($A$8:A144,A144))</f>
        <v/>
      </c>
    </row>
    <row r="145" customFormat="false" ht="15" hidden="false" customHeight="false" outlineLevel="0" collapsed="false">
      <c r="A145" s="16"/>
      <c r="B145" s="16"/>
      <c r="C145" s="16"/>
      <c r="D145" s="29"/>
      <c r="E145" s="17"/>
      <c r="F145" s="13" t="str">
        <f aca="false">IF($A145="","",D145*E145)</f>
        <v/>
      </c>
      <c r="G145" s="16"/>
      <c r="H145" s="13" t="str">
        <f aca="false">IF($G145="","",IFERROR(INDEX(AHSP!$I$4:$I$43,MATCH(G145,AHSP!$B$4:$B$43,0)),""))</f>
        <v/>
      </c>
      <c r="I145" s="12" t="str">
        <f aca="false">IF($A145="","",A145&amp;"|"&amp;COUNTIF($A$8:A145,A145))</f>
        <v/>
      </c>
    </row>
    <row r="146" customFormat="false" ht="15" hidden="false" customHeight="false" outlineLevel="0" collapsed="false">
      <c r="A146" s="16"/>
      <c r="B146" s="16"/>
      <c r="C146" s="16"/>
      <c r="D146" s="29"/>
      <c r="E146" s="17"/>
      <c r="F146" s="13" t="str">
        <f aca="false">IF($A146="","",D146*E146)</f>
        <v/>
      </c>
      <c r="G146" s="16"/>
      <c r="H146" s="13" t="str">
        <f aca="false">IF($G146="","",IFERROR(INDEX(AHSP!$I$4:$I$43,MATCH(G146,AHSP!$B$4:$B$43,0)),""))</f>
        <v/>
      </c>
      <c r="I146" s="12" t="str">
        <f aca="false">IF($A146="","",A146&amp;"|"&amp;COUNTIF($A$8:A146,A146))</f>
        <v/>
      </c>
    </row>
    <row r="147" customFormat="false" ht="15" hidden="false" customHeight="false" outlineLevel="0" collapsed="false">
      <c r="A147" s="16"/>
      <c r="B147" s="16"/>
      <c r="C147" s="16"/>
      <c r="D147" s="29"/>
      <c r="E147" s="17"/>
      <c r="F147" s="13" t="str">
        <f aca="false">IF($A147="","",D147*E147)</f>
        <v/>
      </c>
      <c r="G147" s="16"/>
      <c r="H147" s="13" t="str">
        <f aca="false">IF($G147="","",IFERROR(INDEX(AHSP!$I$4:$I$43,MATCH(G147,AHSP!$B$4:$B$43,0)),""))</f>
        <v/>
      </c>
      <c r="I147" s="12" t="str">
        <f aca="false">IF($A147="","",A147&amp;"|"&amp;COUNTIF($A$8:A147,A147))</f>
        <v/>
      </c>
    </row>
    <row r="148" customFormat="false" ht="15" hidden="false" customHeight="false" outlineLevel="0" collapsed="false">
      <c r="A148" s="16"/>
      <c r="B148" s="16"/>
      <c r="C148" s="16"/>
      <c r="D148" s="29"/>
      <c r="E148" s="17"/>
      <c r="F148" s="13" t="str">
        <f aca="false">IF($A148="","",D148*E148)</f>
        <v/>
      </c>
      <c r="G148" s="16"/>
      <c r="H148" s="13" t="str">
        <f aca="false">IF($G148="","",IFERROR(INDEX(AHSP!$I$4:$I$43,MATCH(G148,AHSP!$B$4:$B$43,0)),""))</f>
        <v/>
      </c>
      <c r="I148" s="12" t="str">
        <f aca="false">IF($A148="","",A148&amp;"|"&amp;COUNTIF($A$8:A148,A148))</f>
        <v/>
      </c>
    </row>
    <row r="149" customFormat="false" ht="15" hidden="false" customHeight="false" outlineLevel="0" collapsed="false">
      <c r="A149" s="16"/>
      <c r="B149" s="16"/>
      <c r="C149" s="16"/>
      <c r="D149" s="29"/>
      <c r="E149" s="17"/>
      <c r="F149" s="13" t="str">
        <f aca="false">IF($A149="","",D149*E149)</f>
        <v/>
      </c>
      <c r="G149" s="16"/>
      <c r="H149" s="13" t="str">
        <f aca="false">IF($G149="","",IFERROR(INDEX(AHSP!$I$4:$I$43,MATCH(G149,AHSP!$B$4:$B$43,0)),""))</f>
        <v/>
      </c>
      <c r="I149" s="12" t="str">
        <f aca="false">IF($A149="","",A149&amp;"|"&amp;COUNTIF($A$8:A149,A149))</f>
        <v/>
      </c>
    </row>
    <row r="150" customFormat="false" ht="15" hidden="false" customHeight="false" outlineLevel="0" collapsed="false">
      <c r="A150" s="16"/>
      <c r="B150" s="16"/>
      <c r="C150" s="16"/>
      <c r="D150" s="29"/>
      <c r="E150" s="17"/>
      <c r="F150" s="13" t="str">
        <f aca="false">IF($A150="","",D150*E150)</f>
        <v/>
      </c>
      <c r="G150" s="16"/>
      <c r="H150" s="13" t="str">
        <f aca="false">IF($G150="","",IFERROR(INDEX(AHSP!$I$4:$I$43,MATCH(G150,AHSP!$B$4:$B$43,0)),""))</f>
        <v/>
      </c>
      <c r="I150" s="12" t="str">
        <f aca="false">IF($A150="","",A150&amp;"|"&amp;COUNTIF($A$8:A150,A150))</f>
        <v/>
      </c>
    </row>
    <row r="151" customFormat="false" ht="15" hidden="false" customHeight="false" outlineLevel="0" collapsed="false">
      <c r="A151" s="16"/>
      <c r="B151" s="16"/>
      <c r="C151" s="16"/>
      <c r="D151" s="29"/>
      <c r="E151" s="17"/>
      <c r="F151" s="13" t="str">
        <f aca="false">IF($A151="","",D151*E151)</f>
        <v/>
      </c>
      <c r="G151" s="16"/>
      <c r="H151" s="13" t="str">
        <f aca="false">IF($G151="","",IFERROR(INDEX(AHSP!$I$4:$I$43,MATCH(G151,AHSP!$B$4:$B$43,0)),""))</f>
        <v/>
      </c>
      <c r="I151" s="12" t="str">
        <f aca="false">IF($A151="","",A151&amp;"|"&amp;COUNTIF($A$8:A151,A151))</f>
        <v/>
      </c>
    </row>
    <row r="152" customFormat="false" ht="15" hidden="false" customHeight="false" outlineLevel="0" collapsed="false">
      <c r="A152" s="16"/>
      <c r="B152" s="16"/>
      <c r="C152" s="16"/>
      <c r="D152" s="29"/>
      <c r="E152" s="17"/>
      <c r="F152" s="13" t="str">
        <f aca="false">IF($A152="","",D152*E152)</f>
        <v/>
      </c>
      <c r="G152" s="16"/>
      <c r="H152" s="13" t="str">
        <f aca="false">IF($G152="","",IFERROR(INDEX(AHSP!$I$4:$I$43,MATCH(G152,AHSP!$B$4:$B$43,0)),""))</f>
        <v/>
      </c>
      <c r="I152" s="12" t="str">
        <f aca="false">IF($A152="","",A152&amp;"|"&amp;COUNTIF($A$8:A152,A152))</f>
        <v/>
      </c>
    </row>
    <row r="153" customFormat="false" ht="15" hidden="false" customHeight="false" outlineLevel="0" collapsed="false">
      <c r="A153" s="16"/>
      <c r="B153" s="16"/>
      <c r="C153" s="16"/>
      <c r="D153" s="29"/>
      <c r="E153" s="17"/>
      <c r="F153" s="13" t="str">
        <f aca="false">IF($A153="","",D153*E153)</f>
        <v/>
      </c>
      <c r="G153" s="16"/>
      <c r="H153" s="13" t="str">
        <f aca="false">IF($G153="","",IFERROR(INDEX(AHSP!$I$4:$I$43,MATCH(G153,AHSP!$B$4:$B$43,0)),""))</f>
        <v/>
      </c>
      <c r="I153" s="12" t="str">
        <f aca="false">IF($A153="","",A153&amp;"|"&amp;COUNTIF($A$8:A153,A153))</f>
        <v/>
      </c>
    </row>
    <row r="154" customFormat="false" ht="15" hidden="false" customHeight="false" outlineLevel="0" collapsed="false">
      <c r="A154" s="16"/>
      <c r="B154" s="16"/>
      <c r="C154" s="16"/>
      <c r="D154" s="29"/>
      <c r="E154" s="17"/>
      <c r="F154" s="13" t="str">
        <f aca="false">IF($A154="","",D154*E154)</f>
        <v/>
      </c>
      <c r="G154" s="16"/>
      <c r="H154" s="13" t="str">
        <f aca="false">IF($G154="","",IFERROR(INDEX(AHSP!$I$4:$I$43,MATCH(G154,AHSP!$B$4:$B$43,0)),""))</f>
        <v/>
      </c>
      <c r="I154" s="12" t="str">
        <f aca="false">IF($A154="","",A154&amp;"|"&amp;COUNTIF($A$8:A154,A154))</f>
        <v/>
      </c>
    </row>
    <row r="155" customFormat="false" ht="15" hidden="false" customHeight="false" outlineLevel="0" collapsed="false">
      <c r="A155" s="16"/>
      <c r="B155" s="16"/>
      <c r="C155" s="16"/>
      <c r="D155" s="29"/>
      <c r="E155" s="17"/>
      <c r="F155" s="13" t="str">
        <f aca="false">IF($A155="","",D155*E155)</f>
        <v/>
      </c>
      <c r="G155" s="16"/>
      <c r="H155" s="13" t="str">
        <f aca="false">IF($G155="","",IFERROR(INDEX(AHSP!$I$4:$I$43,MATCH(G155,AHSP!$B$4:$B$43,0)),""))</f>
        <v/>
      </c>
      <c r="I155" s="12" t="str">
        <f aca="false">IF($A155="","",A155&amp;"|"&amp;COUNTIF($A$8:A155,A155))</f>
        <v/>
      </c>
    </row>
    <row r="156" customFormat="false" ht="15" hidden="false" customHeight="false" outlineLevel="0" collapsed="false">
      <c r="A156" s="16"/>
      <c r="B156" s="16"/>
      <c r="C156" s="16"/>
      <c r="D156" s="29"/>
      <c r="E156" s="17"/>
      <c r="F156" s="13" t="str">
        <f aca="false">IF($A156="","",D156*E156)</f>
        <v/>
      </c>
      <c r="G156" s="16"/>
      <c r="H156" s="13" t="str">
        <f aca="false">IF($G156="","",IFERROR(INDEX(AHSP!$I$4:$I$43,MATCH(G156,AHSP!$B$4:$B$43,0)),""))</f>
        <v/>
      </c>
      <c r="I156" s="12" t="str">
        <f aca="false">IF($A156="","",A156&amp;"|"&amp;COUNTIF($A$8:A156,A156))</f>
        <v/>
      </c>
    </row>
    <row r="157" customFormat="false" ht="15" hidden="false" customHeight="false" outlineLevel="0" collapsed="false">
      <c r="A157" s="16"/>
      <c r="B157" s="16"/>
      <c r="C157" s="16"/>
      <c r="D157" s="29"/>
      <c r="E157" s="17"/>
      <c r="F157" s="13" t="str">
        <f aca="false">IF($A157="","",D157*E157)</f>
        <v/>
      </c>
      <c r="G157" s="16"/>
      <c r="H157" s="13" t="str">
        <f aca="false">IF($G157="","",IFERROR(INDEX(AHSP!$I$4:$I$43,MATCH(G157,AHSP!$B$4:$B$43,0)),""))</f>
        <v/>
      </c>
      <c r="I157" s="12" t="str">
        <f aca="false">IF($A157="","",A157&amp;"|"&amp;COUNTIF($A$8:A157,A157))</f>
        <v/>
      </c>
    </row>
  </sheetData>
  <dataValidations count="3">
    <dataValidation allowBlank="true" errorStyle="stop" operator="between" showDropDown="false" showErrorMessage="false" showInputMessage="false" sqref="A8:A157" type="list">
      <formula1>'Penawaran Harga'!$A$4:$A$33</formula1>
      <formula2>0</formula2>
    </dataValidation>
    <dataValidation allowBlank="true" errorStyle="stop" operator="between" showDropDown="false" showErrorMessage="false" showInputMessage="false" sqref="C8:C157" type="list">
      <formula1>Data!$G$2:$G$12</formula1>
      <formula2>0</formula2>
    </dataValidation>
    <dataValidation allowBlank="true" errorStyle="stop" operator="between" showDropDown="false" showErrorMessage="false" showInputMessage="false" sqref="G8:G157" type="list">
      <formula1>AHSP!$B$4:$B$43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0B0B"/>
    <pageSetUpPr fitToPage="false"/>
  </sheetPr>
  <dimension ref="A2:F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9"/>
    <col collapsed="false" customWidth="true" hidden="false" outlineLevel="0" max="4" min="4" style="0" width="11"/>
    <col collapsed="false" customWidth="true" hidden="false" outlineLevel="0" max="5" min="5" style="0" width="14"/>
    <col collapsed="false" customWidth="true" hidden="false" outlineLevel="0" max="6" min="6" style="0" width="15"/>
  </cols>
  <sheetData>
    <row r="2" customFormat="false" ht="15" hidden="false" customHeight="false" outlineLevel="0" collapsed="false">
      <c r="B2" s="8" t="s">
        <v>273</v>
      </c>
      <c r="C2" s="22"/>
    </row>
    <row r="5" customFormat="false" ht="17.35" hidden="false" customHeight="false" outlineLevel="0" collapsed="false">
      <c r="A5" s="23" t="str">
        <f aca="false">CompanyName</f>
        <v>CV Mitra Creative</v>
      </c>
    </row>
    <row r="6" customFormat="false" ht="15" hidden="false" customHeight="false" outlineLevel="0" collapsed="false">
      <c r="A6" s="24" t="str">
        <f aca="false">CompanyAddress&amp;" - "&amp;CompanyPhone</f>
        <v>Jl. Taman Asri No. 15, Pedurungan Tengah, Semarang - 0895811220203</v>
      </c>
    </row>
    <row r="8" customFormat="false" ht="15" hidden="false" customHeight="false" outlineLevel="0" collapsed="false">
      <c r="A8" s="25" t="s">
        <v>274</v>
      </c>
    </row>
    <row r="10" customFormat="false" ht="15" hidden="false" customHeight="false" outlineLevel="0" collapsed="false">
      <c r="A10" s="0" t="s">
        <v>259</v>
      </c>
      <c r="B10" s="12" t="str">
        <f aca="false">IF($C$2="","",IFERROR(INDEX('Penawaran Harga'!$A$4:$A$33,MATCH($C$2,'Penawaran Harga'!$A$4:$A$33,0)),""))</f>
        <v/>
      </c>
    </row>
    <row r="11" customFormat="false" ht="15" hidden="false" customHeight="false" outlineLevel="0" collapsed="false">
      <c r="A11" s="0" t="s">
        <v>13</v>
      </c>
      <c r="B11" s="11" t="str">
        <f aca="false">IF($C$2="","",IFERROR(INDEX('Penawaran Harga'!$B$4:$B$33,MATCH($C$2,'Penawaran Harga'!$A$4:$A$33,0)),""))</f>
        <v/>
      </c>
    </row>
    <row r="12" customFormat="false" ht="15" hidden="false" customHeight="false" outlineLevel="0" collapsed="false">
      <c r="A12" s="0" t="s">
        <v>260</v>
      </c>
      <c r="B12" s="12" t="str">
        <f aca="false">IF($C$2="","",IFERROR(INDEX('Penawaran Harga'!$C$4:$C$33,MATCH($C$2,'Penawaran Harga'!$A$4:$A$33,0)),""))</f>
        <v/>
      </c>
    </row>
    <row r="13" customFormat="false" ht="15" hidden="false" customHeight="false" outlineLevel="0" collapsed="false">
      <c r="A13" s="0" t="s">
        <v>275</v>
      </c>
      <c r="B13" s="12" t="str">
        <f aca="false">IF($C$2="","",IFERROR(INDEX('Penawaran Harga'!$D$4:$D$33,MATCH($C$2,'Penawaran Harga'!$A$4:$A$33,0)),""))</f>
        <v/>
      </c>
    </row>
    <row r="14" customFormat="false" ht="15" hidden="false" customHeight="false" outlineLevel="0" collapsed="false">
      <c r="A14" s="0" t="s">
        <v>262</v>
      </c>
      <c r="B14" s="12" t="str">
        <f aca="false">IF($C$2="","",IFERROR(INDEX('Penawaran Harga'!$E$4:$E$33,MATCH($C$2,'Penawaran Harga'!$A$4:$A$33,0)),""))</f>
        <v/>
      </c>
    </row>
    <row r="16" customFormat="false" ht="15" hidden="false" customHeight="false" outlineLevel="0" collapsed="false">
      <c r="A16" s="32" t="s">
        <v>118</v>
      </c>
      <c r="B16" s="32" t="s">
        <v>159</v>
      </c>
      <c r="C16" s="32" t="s">
        <v>147</v>
      </c>
      <c r="D16" s="32" t="s">
        <v>254</v>
      </c>
      <c r="E16" s="32" t="s">
        <v>150</v>
      </c>
      <c r="F16" s="32" t="s">
        <v>17</v>
      </c>
    </row>
    <row r="17" customFormat="false" ht="15" hidden="false" customHeight="false" outlineLevel="0" collapsed="false">
      <c r="A17" s="0" t="n">
        <v>1</v>
      </c>
      <c r="B17" s="0" t="str">
        <f aca="false">IFERROR(INDEX('Penawaran - Item'!$B$8:$B$157,MATCH($C$2&amp;"|"&amp;1,'Penawaran - Item'!$I$8:$I$157,0)),"")</f>
        <v/>
      </c>
      <c r="C17" s="0" t="str">
        <f aca="false">IFERROR(INDEX('Penawaran - Item'!$C$8:$C$157,MATCH($C$2&amp;"|"&amp;1,'Penawaran - Item'!$I$8:$I$157,0)),"")</f>
        <v/>
      </c>
      <c r="D17" s="0" t="str">
        <f aca="false">IFERROR(INDEX('Penawaran - Item'!$D$8:$D$157,MATCH($C$2&amp;"|"&amp;1,'Penawaran - Item'!$I$8:$I$157,0)),"")</f>
        <v/>
      </c>
      <c r="E17" s="7" t="str">
        <f aca="false">IFERROR(INDEX('Penawaran - Item'!$E$8:$E$157,MATCH($C$2&amp;"|"&amp;1,'Penawaran - Item'!$I$8:$I$157,0)),"")</f>
        <v/>
      </c>
      <c r="F17" s="7" t="str">
        <f aca="false">IFERROR(INDEX('Penawaran - Item'!$F$8:$F$157,MATCH($C$2&amp;"|"&amp;1,'Penawaran - Item'!$I$8:$I$157,0)),"")</f>
        <v/>
      </c>
    </row>
    <row r="18" customFormat="false" ht="15" hidden="false" customHeight="false" outlineLevel="0" collapsed="false">
      <c r="A18" s="0" t="n">
        <v>2</v>
      </c>
      <c r="B18" s="0" t="str">
        <f aca="false">IFERROR(INDEX('Penawaran - Item'!$B$8:$B$157,MATCH($C$2&amp;"|"&amp;2,'Penawaran - Item'!$I$8:$I$157,0)),"")</f>
        <v/>
      </c>
      <c r="C18" s="0" t="str">
        <f aca="false">IFERROR(INDEX('Penawaran - Item'!$C$8:$C$157,MATCH($C$2&amp;"|"&amp;2,'Penawaran - Item'!$I$8:$I$157,0)),"")</f>
        <v/>
      </c>
      <c r="D18" s="0" t="str">
        <f aca="false">IFERROR(INDEX('Penawaran - Item'!$D$8:$D$157,MATCH($C$2&amp;"|"&amp;2,'Penawaran - Item'!$I$8:$I$157,0)),"")</f>
        <v/>
      </c>
      <c r="E18" s="7" t="str">
        <f aca="false">IFERROR(INDEX('Penawaran - Item'!$E$8:$E$157,MATCH($C$2&amp;"|"&amp;2,'Penawaran - Item'!$I$8:$I$157,0)),"")</f>
        <v/>
      </c>
      <c r="F18" s="7" t="str">
        <f aca="false">IFERROR(INDEX('Penawaran - Item'!$F$8:$F$157,MATCH($C$2&amp;"|"&amp;2,'Penawaran - Item'!$I$8:$I$157,0)),"")</f>
        <v/>
      </c>
    </row>
    <row r="19" customFormat="false" ht="15" hidden="false" customHeight="false" outlineLevel="0" collapsed="false">
      <c r="A19" s="0" t="n">
        <v>3</v>
      </c>
      <c r="B19" s="0" t="str">
        <f aca="false">IFERROR(INDEX('Penawaran - Item'!$B$8:$B$157,MATCH($C$2&amp;"|"&amp;3,'Penawaran - Item'!$I$8:$I$157,0)),"")</f>
        <v/>
      </c>
      <c r="C19" s="0" t="str">
        <f aca="false">IFERROR(INDEX('Penawaran - Item'!$C$8:$C$157,MATCH($C$2&amp;"|"&amp;3,'Penawaran - Item'!$I$8:$I$157,0)),"")</f>
        <v/>
      </c>
      <c r="D19" s="0" t="str">
        <f aca="false">IFERROR(INDEX('Penawaran - Item'!$D$8:$D$157,MATCH($C$2&amp;"|"&amp;3,'Penawaran - Item'!$I$8:$I$157,0)),"")</f>
        <v/>
      </c>
      <c r="E19" s="7" t="str">
        <f aca="false">IFERROR(INDEX('Penawaran - Item'!$E$8:$E$157,MATCH($C$2&amp;"|"&amp;3,'Penawaran - Item'!$I$8:$I$157,0)),"")</f>
        <v/>
      </c>
      <c r="F19" s="7" t="str">
        <f aca="false">IFERROR(INDEX('Penawaran - Item'!$F$8:$F$157,MATCH($C$2&amp;"|"&amp;3,'Penawaran - Item'!$I$8:$I$157,0)),"")</f>
        <v/>
      </c>
    </row>
    <row r="20" customFormat="false" ht="15" hidden="false" customHeight="false" outlineLevel="0" collapsed="false">
      <c r="A20" s="0" t="n">
        <v>4</v>
      </c>
      <c r="B20" s="0" t="str">
        <f aca="false">IFERROR(INDEX('Penawaran - Item'!$B$8:$B$157,MATCH($C$2&amp;"|"&amp;4,'Penawaran - Item'!$I$8:$I$157,0)),"")</f>
        <v/>
      </c>
      <c r="C20" s="0" t="str">
        <f aca="false">IFERROR(INDEX('Penawaran - Item'!$C$8:$C$157,MATCH($C$2&amp;"|"&amp;4,'Penawaran - Item'!$I$8:$I$157,0)),"")</f>
        <v/>
      </c>
      <c r="D20" s="0" t="str">
        <f aca="false">IFERROR(INDEX('Penawaran - Item'!$D$8:$D$157,MATCH($C$2&amp;"|"&amp;4,'Penawaran - Item'!$I$8:$I$157,0)),"")</f>
        <v/>
      </c>
      <c r="E20" s="7" t="str">
        <f aca="false">IFERROR(INDEX('Penawaran - Item'!$E$8:$E$157,MATCH($C$2&amp;"|"&amp;4,'Penawaran - Item'!$I$8:$I$157,0)),"")</f>
        <v/>
      </c>
      <c r="F20" s="7" t="str">
        <f aca="false">IFERROR(INDEX('Penawaran - Item'!$F$8:$F$157,MATCH($C$2&amp;"|"&amp;4,'Penawaran - Item'!$I$8:$I$157,0)),"")</f>
        <v/>
      </c>
    </row>
    <row r="21" customFormat="false" ht="15" hidden="false" customHeight="false" outlineLevel="0" collapsed="false">
      <c r="A21" s="0" t="n">
        <v>5</v>
      </c>
      <c r="B21" s="0" t="str">
        <f aca="false">IFERROR(INDEX('Penawaran - Item'!$B$8:$B$157,MATCH($C$2&amp;"|"&amp;5,'Penawaran - Item'!$I$8:$I$157,0)),"")</f>
        <v/>
      </c>
      <c r="C21" s="0" t="str">
        <f aca="false">IFERROR(INDEX('Penawaran - Item'!$C$8:$C$157,MATCH($C$2&amp;"|"&amp;5,'Penawaran - Item'!$I$8:$I$157,0)),"")</f>
        <v/>
      </c>
      <c r="D21" s="0" t="str">
        <f aca="false">IFERROR(INDEX('Penawaran - Item'!$D$8:$D$157,MATCH($C$2&amp;"|"&amp;5,'Penawaran - Item'!$I$8:$I$157,0)),"")</f>
        <v/>
      </c>
      <c r="E21" s="7" t="str">
        <f aca="false">IFERROR(INDEX('Penawaran - Item'!$E$8:$E$157,MATCH($C$2&amp;"|"&amp;5,'Penawaran - Item'!$I$8:$I$157,0)),"")</f>
        <v/>
      </c>
      <c r="F21" s="7" t="str">
        <f aca="false">IFERROR(INDEX('Penawaran - Item'!$F$8:$F$157,MATCH($C$2&amp;"|"&amp;5,'Penawaran - Item'!$I$8:$I$157,0)),"")</f>
        <v/>
      </c>
    </row>
    <row r="22" customFormat="false" ht="15" hidden="false" customHeight="false" outlineLevel="0" collapsed="false">
      <c r="A22" s="0" t="n">
        <v>6</v>
      </c>
      <c r="B22" s="0" t="str">
        <f aca="false">IFERROR(INDEX('Penawaran - Item'!$B$8:$B$157,MATCH($C$2&amp;"|"&amp;6,'Penawaran - Item'!$I$8:$I$157,0)),"")</f>
        <v/>
      </c>
      <c r="C22" s="0" t="str">
        <f aca="false">IFERROR(INDEX('Penawaran - Item'!$C$8:$C$157,MATCH($C$2&amp;"|"&amp;6,'Penawaran - Item'!$I$8:$I$157,0)),"")</f>
        <v/>
      </c>
      <c r="D22" s="0" t="str">
        <f aca="false">IFERROR(INDEX('Penawaran - Item'!$D$8:$D$157,MATCH($C$2&amp;"|"&amp;6,'Penawaran - Item'!$I$8:$I$157,0)),"")</f>
        <v/>
      </c>
      <c r="E22" s="7" t="str">
        <f aca="false">IFERROR(INDEX('Penawaran - Item'!$E$8:$E$157,MATCH($C$2&amp;"|"&amp;6,'Penawaran - Item'!$I$8:$I$157,0)),"")</f>
        <v/>
      </c>
      <c r="F22" s="7" t="str">
        <f aca="false">IFERROR(INDEX('Penawaran - Item'!$F$8:$F$157,MATCH($C$2&amp;"|"&amp;6,'Penawaran - Item'!$I$8:$I$157,0)),"")</f>
        <v/>
      </c>
    </row>
    <row r="23" customFormat="false" ht="15" hidden="false" customHeight="false" outlineLevel="0" collapsed="false">
      <c r="A23" s="0" t="n">
        <v>7</v>
      </c>
      <c r="B23" s="0" t="str">
        <f aca="false">IFERROR(INDEX('Penawaran - Item'!$B$8:$B$157,MATCH($C$2&amp;"|"&amp;7,'Penawaran - Item'!$I$8:$I$157,0)),"")</f>
        <v/>
      </c>
      <c r="C23" s="0" t="str">
        <f aca="false">IFERROR(INDEX('Penawaran - Item'!$C$8:$C$157,MATCH($C$2&amp;"|"&amp;7,'Penawaran - Item'!$I$8:$I$157,0)),"")</f>
        <v/>
      </c>
      <c r="D23" s="0" t="str">
        <f aca="false">IFERROR(INDEX('Penawaran - Item'!$D$8:$D$157,MATCH($C$2&amp;"|"&amp;7,'Penawaran - Item'!$I$8:$I$157,0)),"")</f>
        <v/>
      </c>
      <c r="E23" s="7" t="str">
        <f aca="false">IFERROR(INDEX('Penawaran - Item'!$E$8:$E$157,MATCH($C$2&amp;"|"&amp;7,'Penawaran - Item'!$I$8:$I$157,0)),"")</f>
        <v/>
      </c>
      <c r="F23" s="7" t="str">
        <f aca="false">IFERROR(INDEX('Penawaran - Item'!$F$8:$F$157,MATCH($C$2&amp;"|"&amp;7,'Penawaran - Item'!$I$8:$I$157,0)),"")</f>
        <v/>
      </c>
    </row>
    <row r="24" customFormat="false" ht="15" hidden="false" customHeight="false" outlineLevel="0" collapsed="false">
      <c r="A24" s="0" t="n">
        <v>8</v>
      </c>
      <c r="B24" s="0" t="str">
        <f aca="false">IFERROR(INDEX('Penawaran - Item'!$B$8:$B$157,MATCH($C$2&amp;"|"&amp;8,'Penawaran - Item'!$I$8:$I$157,0)),"")</f>
        <v/>
      </c>
      <c r="C24" s="0" t="str">
        <f aca="false">IFERROR(INDEX('Penawaran - Item'!$C$8:$C$157,MATCH($C$2&amp;"|"&amp;8,'Penawaran - Item'!$I$8:$I$157,0)),"")</f>
        <v/>
      </c>
      <c r="D24" s="0" t="str">
        <f aca="false">IFERROR(INDEX('Penawaran - Item'!$D$8:$D$157,MATCH($C$2&amp;"|"&amp;8,'Penawaran - Item'!$I$8:$I$157,0)),"")</f>
        <v/>
      </c>
      <c r="E24" s="7" t="str">
        <f aca="false">IFERROR(INDEX('Penawaran - Item'!$E$8:$E$157,MATCH($C$2&amp;"|"&amp;8,'Penawaran - Item'!$I$8:$I$157,0)),"")</f>
        <v/>
      </c>
      <c r="F24" s="7" t="str">
        <f aca="false">IFERROR(INDEX('Penawaran - Item'!$F$8:$F$157,MATCH($C$2&amp;"|"&amp;8,'Penawaran - Item'!$I$8:$I$157,0)),"")</f>
        <v/>
      </c>
    </row>
    <row r="25" customFormat="false" ht="15" hidden="false" customHeight="false" outlineLevel="0" collapsed="false">
      <c r="A25" s="0" t="n">
        <v>9</v>
      </c>
      <c r="B25" s="0" t="str">
        <f aca="false">IFERROR(INDEX('Penawaran - Item'!$B$8:$B$157,MATCH($C$2&amp;"|"&amp;9,'Penawaran - Item'!$I$8:$I$157,0)),"")</f>
        <v/>
      </c>
      <c r="C25" s="0" t="str">
        <f aca="false">IFERROR(INDEX('Penawaran - Item'!$C$8:$C$157,MATCH($C$2&amp;"|"&amp;9,'Penawaran - Item'!$I$8:$I$157,0)),"")</f>
        <v/>
      </c>
      <c r="D25" s="0" t="str">
        <f aca="false">IFERROR(INDEX('Penawaran - Item'!$D$8:$D$157,MATCH($C$2&amp;"|"&amp;9,'Penawaran - Item'!$I$8:$I$157,0)),"")</f>
        <v/>
      </c>
      <c r="E25" s="7" t="str">
        <f aca="false">IFERROR(INDEX('Penawaran - Item'!$E$8:$E$157,MATCH($C$2&amp;"|"&amp;9,'Penawaran - Item'!$I$8:$I$157,0)),"")</f>
        <v/>
      </c>
      <c r="F25" s="7" t="str">
        <f aca="false">IFERROR(INDEX('Penawaran - Item'!$F$8:$F$157,MATCH($C$2&amp;"|"&amp;9,'Penawaran - Item'!$I$8:$I$157,0)),"")</f>
        <v/>
      </c>
    </row>
    <row r="26" customFormat="false" ht="15" hidden="false" customHeight="false" outlineLevel="0" collapsed="false">
      <c r="A26" s="0" t="n">
        <v>10</v>
      </c>
      <c r="B26" s="0" t="str">
        <f aca="false">IFERROR(INDEX('Penawaran - Item'!$B$8:$B$157,MATCH($C$2&amp;"|"&amp;10,'Penawaran - Item'!$I$8:$I$157,0)),"")</f>
        <v/>
      </c>
      <c r="C26" s="0" t="str">
        <f aca="false">IFERROR(INDEX('Penawaran - Item'!$C$8:$C$157,MATCH($C$2&amp;"|"&amp;10,'Penawaran - Item'!$I$8:$I$157,0)),"")</f>
        <v/>
      </c>
      <c r="D26" s="0" t="str">
        <f aca="false">IFERROR(INDEX('Penawaran - Item'!$D$8:$D$157,MATCH($C$2&amp;"|"&amp;10,'Penawaran - Item'!$I$8:$I$157,0)),"")</f>
        <v/>
      </c>
      <c r="E26" s="7" t="str">
        <f aca="false">IFERROR(INDEX('Penawaran - Item'!$E$8:$E$157,MATCH($C$2&amp;"|"&amp;10,'Penawaran - Item'!$I$8:$I$157,0)),"")</f>
        <v/>
      </c>
      <c r="F26" s="7" t="str">
        <f aca="false">IFERROR(INDEX('Penawaran - Item'!$F$8:$F$157,MATCH($C$2&amp;"|"&amp;10,'Penawaran - Item'!$I$8:$I$157,0)),"")</f>
        <v/>
      </c>
    </row>
    <row r="27" customFormat="false" ht="15" hidden="false" customHeight="false" outlineLevel="0" collapsed="false">
      <c r="A27" s="0" t="n">
        <v>11</v>
      </c>
      <c r="B27" s="0" t="str">
        <f aca="false">IFERROR(INDEX('Penawaran - Item'!$B$8:$B$157,MATCH($C$2&amp;"|"&amp;11,'Penawaran - Item'!$I$8:$I$157,0)),"")</f>
        <v/>
      </c>
      <c r="C27" s="0" t="str">
        <f aca="false">IFERROR(INDEX('Penawaran - Item'!$C$8:$C$157,MATCH($C$2&amp;"|"&amp;11,'Penawaran - Item'!$I$8:$I$157,0)),"")</f>
        <v/>
      </c>
      <c r="D27" s="0" t="str">
        <f aca="false">IFERROR(INDEX('Penawaran - Item'!$D$8:$D$157,MATCH($C$2&amp;"|"&amp;11,'Penawaran - Item'!$I$8:$I$157,0)),"")</f>
        <v/>
      </c>
      <c r="E27" s="7" t="str">
        <f aca="false">IFERROR(INDEX('Penawaran - Item'!$E$8:$E$157,MATCH($C$2&amp;"|"&amp;11,'Penawaran - Item'!$I$8:$I$157,0)),"")</f>
        <v/>
      </c>
      <c r="F27" s="7" t="str">
        <f aca="false">IFERROR(INDEX('Penawaran - Item'!$F$8:$F$157,MATCH($C$2&amp;"|"&amp;11,'Penawaran - Item'!$I$8:$I$157,0)),"")</f>
        <v/>
      </c>
    </row>
    <row r="28" customFormat="false" ht="15" hidden="false" customHeight="false" outlineLevel="0" collapsed="false">
      <c r="A28" s="0" t="n">
        <v>12</v>
      </c>
      <c r="B28" s="0" t="str">
        <f aca="false">IFERROR(INDEX('Penawaran - Item'!$B$8:$B$157,MATCH($C$2&amp;"|"&amp;12,'Penawaran - Item'!$I$8:$I$157,0)),"")</f>
        <v/>
      </c>
      <c r="C28" s="0" t="str">
        <f aca="false">IFERROR(INDEX('Penawaran - Item'!$C$8:$C$157,MATCH($C$2&amp;"|"&amp;12,'Penawaran - Item'!$I$8:$I$157,0)),"")</f>
        <v/>
      </c>
      <c r="D28" s="0" t="str">
        <f aca="false">IFERROR(INDEX('Penawaran - Item'!$D$8:$D$157,MATCH($C$2&amp;"|"&amp;12,'Penawaran - Item'!$I$8:$I$157,0)),"")</f>
        <v/>
      </c>
      <c r="E28" s="7" t="str">
        <f aca="false">IFERROR(INDEX('Penawaran - Item'!$E$8:$E$157,MATCH($C$2&amp;"|"&amp;12,'Penawaran - Item'!$I$8:$I$157,0)),"")</f>
        <v/>
      </c>
      <c r="F28" s="7" t="str">
        <f aca="false">IFERROR(INDEX('Penawaran - Item'!$F$8:$F$157,MATCH($C$2&amp;"|"&amp;12,'Penawaran - Item'!$I$8:$I$157,0)),"")</f>
        <v/>
      </c>
    </row>
    <row r="29" customFormat="false" ht="15" hidden="false" customHeight="false" outlineLevel="0" collapsed="false">
      <c r="A29" s="0" t="n">
        <v>13</v>
      </c>
      <c r="B29" s="0" t="str">
        <f aca="false">IFERROR(INDEX('Penawaran - Item'!$B$8:$B$157,MATCH($C$2&amp;"|"&amp;13,'Penawaran - Item'!$I$8:$I$157,0)),"")</f>
        <v/>
      </c>
      <c r="C29" s="0" t="str">
        <f aca="false">IFERROR(INDEX('Penawaran - Item'!$C$8:$C$157,MATCH($C$2&amp;"|"&amp;13,'Penawaran - Item'!$I$8:$I$157,0)),"")</f>
        <v/>
      </c>
      <c r="D29" s="0" t="str">
        <f aca="false">IFERROR(INDEX('Penawaran - Item'!$D$8:$D$157,MATCH($C$2&amp;"|"&amp;13,'Penawaran - Item'!$I$8:$I$157,0)),"")</f>
        <v/>
      </c>
      <c r="E29" s="7" t="str">
        <f aca="false">IFERROR(INDEX('Penawaran - Item'!$E$8:$E$157,MATCH($C$2&amp;"|"&amp;13,'Penawaran - Item'!$I$8:$I$157,0)),"")</f>
        <v/>
      </c>
      <c r="F29" s="7" t="str">
        <f aca="false">IFERROR(INDEX('Penawaran - Item'!$F$8:$F$157,MATCH($C$2&amp;"|"&amp;13,'Penawaran - Item'!$I$8:$I$157,0)),"")</f>
        <v/>
      </c>
    </row>
    <row r="30" customFormat="false" ht="15" hidden="false" customHeight="false" outlineLevel="0" collapsed="false">
      <c r="A30" s="0" t="n">
        <v>14</v>
      </c>
      <c r="B30" s="0" t="str">
        <f aca="false">IFERROR(INDEX('Penawaran - Item'!$B$8:$B$157,MATCH($C$2&amp;"|"&amp;14,'Penawaran - Item'!$I$8:$I$157,0)),"")</f>
        <v/>
      </c>
      <c r="C30" s="0" t="str">
        <f aca="false">IFERROR(INDEX('Penawaran - Item'!$C$8:$C$157,MATCH($C$2&amp;"|"&amp;14,'Penawaran - Item'!$I$8:$I$157,0)),"")</f>
        <v/>
      </c>
      <c r="D30" s="0" t="str">
        <f aca="false">IFERROR(INDEX('Penawaran - Item'!$D$8:$D$157,MATCH($C$2&amp;"|"&amp;14,'Penawaran - Item'!$I$8:$I$157,0)),"")</f>
        <v/>
      </c>
      <c r="E30" s="7" t="str">
        <f aca="false">IFERROR(INDEX('Penawaran - Item'!$E$8:$E$157,MATCH($C$2&amp;"|"&amp;14,'Penawaran - Item'!$I$8:$I$157,0)),"")</f>
        <v/>
      </c>
      <c r="F30" s="7" t="str">
        <f aca="false">IFERROR(INDEX('Penawaran - Item'!$F$8:$F$157,MATCH($C$2&amp;"|"&amp;14,'Penawaran - Item'!$I$8:$I$157,0)),"")</f>
        <v/>
      </c>
    </row>
    <row r="31" customFormat="false" ht="15" hidden="false" customHeight="false" outlineLevel="0" collapsed="false">
      <c r="A31" s="0" t="n">
        <v>15</v>
      </c>
      <c r="B31" s="0" t="str">
        <f aca="false">IFERROR(INDEX('Penawaran - Item'!$B$8:$B$157,MATCH($C$2&amp;"|"&amp;15,'Penawaran - Item'!$I$8:$I$157,0)),"")</f>
        <v/>
      </c>
      <c r="C31" s="0" t="str">
        <f aca="false">IFERROR(INDEX('Penawaran - Item'!$C$8:$C$157,MATCH($C$2&amp;"|"&amp;15,'Penawaran - Item'!$I$8:$I$157,0)),"")</f>
        <v/>
      </c>
      <c r="D31" s="0" t="str">
        <f aca="false">IFERROR(INDEX('Penawaran - Item'!$D$8:$D$157,MATCH($C$2&amp;"|"&amp;15,'Penawaran - Item'!$I$8:$I$157,0)),"")</f>
        <v/>
      </c>
      <c r="E31" s="7" t="str">
        <f aca="false">IFERROR(INDEX('Penawaran - Item'!$E$8:$E$157,MATCH($C$2&amp;"|"&amp;15,'Penawaran - Item'!$I$8:$I$157,0)),"")</f>
        <v/>
      </c>
      <c r="F31" s="7" t="str">
        <f aca="false">IFERROR(INDEX('Penawaran - Item'!$F$8:$F$157,MATCH($C$2&amp;"|"&amp;15,'Penawaran - Item'!$I$8:$I$157,0)),"")</f>
        <v/>
      </c>
    </row>
    <row r="32" customFormat="false" ht="15" hidden="false" customHeight="false" outlineLevel="0" collapsed="false">
      <c r="A32" s="0" t="n">
        <v>16</v>
      </c>
      <c r="B32" s="0" t="str">
        <f aca="false">IFERROR(INDEX('Penawaran - Item'!$B$8:$B$157,MATCH($C$2&amp;"|"&amp;16,'Penawaran - Item'!$I$8:$I$157,0)),"")</f>
        <v/>
      </c>
      <c r="C32" s="0" t="str">
        <f aca="false">IFERROR(INDEX('Penawaran - Item'!$C$8:$C$157,MATCH($C$2&amp;"|"&amp;16,'Penawaran - Item'!$I$8:$I$157,0)),"")</f>
        <v/>
      </c>
      <c r="D32" s="0" t="str">
        <f aca="false">IFERROR(INDEX('Penawaran - Item'!$D$8:$D$157,MATCH($C$2&amp;"|"&amp;16,'Penawaran - Item'!$I$8:$I$157,0)),"")</f>
        <v/>
      </c>
      <c r="E32" s="7" t="str">
        <f aca="false">IFERROR(INDEX('Penawaran - Item'!$E$8:$E$157,MATCH($C$2&amp;"|"&amp;16,'Penawaran - Item'!$I$8:$I$157,0)),"")</f>
        <v/>
      </c>
      <c r="F32" s="7" t="str">
        <f aca="false">IFERROR(INDEX('Penawaran - Item'!$F$8:$F$157,MATCH($C$2&amp;"|"&amp;16,'Penawaran - Item'!$I$8:$I$157,0)),"")</f>
        <v/>
      </c>
    </row>
    <row r="33" customFormat="false" ht="15" hidden="false" customHeight="false" outlineLevel="0" collapsed="false">
      <c r="A33" s="0" t="n">
        <v>17</v>
      </c>
      <c r="B33" s="0" t="str">
        <f aca="false">IFERROR(INDEX('Penawaran - Item'!$B$8:$B$157,MATCH($C$2&amp;"|"&amp;17,'Penawaran - Item'!$I$8:$I$157,0)),"")</f>
        <v/>
      </c>
      <c r="C33" s="0" t="str">
        <f aca="false">IFERROR(INDEX('Penawaran - Item'!$C$8:$C$157,MATCH($C$2&amp;"|"&amp;17,'Penawaran - Item'!$I$8:$I$157,0)),"")</f>
        <v/>
      </c>
      <c r="D33" s="0" t="str">
        <f aca="false">IFERROR(INDEX('Penawaran - Item'!$D$8:$D$157,MATCH($C$2&amp;"|"&amp;17,'Penawaran - Item'!$I$8:$I$157,0)),"")</f>
        <v/>
      </c>
      <c r="E33" s="7" t="str">
        <f aca="false">IFERROR(INDEX('Penawaran - Item'!$E$8:$E$157,MATCH($C$2&amp;"|"&amp;17,'Penawaran - Item'!$I$8:$I$157,0)),"")</f>
        <v/>
      </c>
      <c r="F33" s="7" t="str">
        <f aca="false">IFERROR(INDEX('Penawaran - Item'!$F$8:$F$157,MATCH($C$2&amp;"|"&amp;17,'Penawaran - Item'!$I$8:$I$157,0)),"")</f>
        <v/>
      </c>
    </row>
    <row r="34" customFormat="false" ht="15" hidden="false" customHeight="false" outlineLevel="0" collapsed="false">
      <c r="A34" s="0" t="n">
        <v>18</v>
      </c>
      <c r="B34" s="0" t="str">
        <f aca="false">IFERROR(INDEX('Penawaran - Item'!$B$8:$B$157,MATCH($C$2&amp;"|"&amp;18,'Penawaran - Item'!$I$8:$I$157,0)),"")</f>
        <v/>
      </c>
      <c r="C34" s="0" t="str">
        <f aca="false">IFERROR(INDEX('Penawaran - Item'!$C$8:$C$157,MATCH($C$2&amp;"|"&amp;18,'Penawaran - Item'!$I$8:$I$157,0)),"")</f>
        <v/>
      </c>
      <c r="D34" s="0" t="str">
        <f aca="false">IFERROR(INDEX('Penawaran - Item'!$D$8:$D$157,MATCH($C$2&amp;"|"&amp;18,'Penawaran - Item'!$I$8:$I$157,0)),"")</f>
        <v/>
      </c>
      <c r="E34" s="7" t="str">
        <f aca="false">IFERROR(INDEX('Penawaran - Item'!$E$8:$E$157,MATCH($C$2&amp;"|"&amp;18,'Penawaran - Item'!$I$8:$I$157,0)),"")</f>
        <v/>
      </c>
      <c r="F34" s="7" t="str">
        <f aca="false">IFERROR(INDEX('Penawaran - Item'!$F$8:$F$157,MATCH($C$2&amp;"|"&amp;18,'Penawaran - Item'!$I$8:$I$157,0)),"")</f>
        <v/>
      </c>
    </row>
    <row r="35" customFormat="false" ht="15" hidden="false" customHeight="false" outlineLevel="0" collapsed="false">
      <c r="A35" s="0" t="n">
        <v>19</v>
      </c>
      <c r="B35" s="0" t="str">
        <f aca="false">IFERROR(INDEX('Penawaran - Item'!$B$8:$B$157,MATCH($C$2&amp;"|"&amp;19,'Penawaran - Item'!$I$8:$I$157,0)),"")</f>
        <v/>
      </c>
      <c r="C35" s="0" t="str">
        <f aca="false">IFERROR(INDEX('Penawaran - Item'!$C$8:$C$157,MATCH($C$2&amp;"|"&amp;19,'Penawaran - Item'!$I$8:$I$157,0)),"")</f>
        <v/>
      </c>
      <c r="D35" s="0" t="str">
        <f aca="false">IFERROR(INDEX('Penawaran - Item'!$D$8:$D$157,MATCH($C$2&amp;"|"&amp;19,'Penawaran - Item'!$I$8:$I$157,0)),"")</f>
        <v/>
      </c>
      <c r="E35" s="7" t="str">
        <f aca="false">IFERROR(INDEX('Penawaran - Item'!$E$8:$E$157,MATCH($C$2&amp;"|"&amp;19,'Penawaran - Item'!$I$8:$I$157,0)),"")</f>
        <v/>
      </c>
      <c r="F35" s="7" t="str">
        <f aca="false">IFERROR(INDEX('Penawaran - Item'!$F$8:$F$157,MATCH($C$2&amp;"|"&amp;19,'Penawaran - Item'!$I$8:$I$157,0)),"")</f>
        <v/>
      </c>
    </row>
    <row r="36" customFormat="false" ht="15" hidden="false" customHeight="false" outlineLevel="0" collapsed="false">
      <c r="A36" s="0" t="n">
        <v>20</v>
      </c>
      <c r="B36" s="0" t="str">
        <f aca="false">IFERROR(INDEX('Penawaran - Item'!$B$8:$B$157,MATCH($C$2&amp;"|"&amp;20,'Penawaran - Item'!$I$8:$I$157,0)),"")</f>
        <v/>
      </c>
      <c r="C36" s="0" t="str">
        <f aca="false">IFERROR(INDEX('Penawaran - Item'!$C$8:$C$157,MATCH($C$2&amp;"|"&amp;20,'Penawaran - Item'!$I$8:$I$157,0)),"")</f>
        <v/>
      </c>
      <c r="D36" s="0" t="str">
        <f aca="false">IFERROR(INDEX('Penawaran - Item'!$D$8:$D$157,MATCH($C$2&amp;"|"&amp;20,'Penawaran - Item'!$I$8:$I$157,0)),"")</f>
        <v/>
      </c>
      <c r="E36" s="7" t="str">
        <f aca="false">IFERROR(INDEX('Penawaran - Item'!$E$8:$E$157,MATCH($C$2&amp;"|"&amp;20,'Penawaran - Item'!$I$8:$I$157,0)),"")</f>
        <v/>
      </c>
      <c r="F36" s="7" t="str">
        <f aca="false">IFERROR(INDEX('Penawaran - Item'!$F$8:$F$157,MATCH($C$2&amp;"|"&amp;20,'Penawaran - Item'!$I$8:$I$157,0)),"")</f>
        <v/>
      </c>
    </row>
    <row r="38" customFormat="false" ht="15" hidden="false" customHeight="false" outlineLevel="0" collapsed="false">
      <c r="A38" s="0" t="s">
        <v>246</v>
      </c>
      <c r="B38" s="26" t="str">
        <f aca="false">IF($C$2="","",IFERROR(INDEX('Penawaran Harga'!$H$4:$H$33,MATCH($C$2,'Penawaran Harga'!$A$4:$A$33,0)),""))</f>
        <v/>
      </c>
    </row>
    <row r="39" customFormat="false" ht="15" hidden="false" customHeight="false" outlineLevel="0" collapsed="false">
      <c r="A39" s="0" t="s">
        <v>276</v>
      </c>
      <c r="B39" s="26" t="str">
        <f aca="false">IF($C$2="","",IFERROR(INDEX('Penawaran Harga'!$J$4:$J$33,MATCH($C$2,'Penawaran Harga'!$A$4:$A$33,0)),""))</f>
        <v/>
      </c>
    </row>
    <row r="40" customFormat="false" ht="15" hidden="false" customHeight="false" outlineLevel="0" collapsed="false">
      <c r="A40" s="0" t="s">
        <v>277</v>
      </c>
      <c r="B40" s="26" t="str">
        <f aca="false">IF($C$2="","",IFERROR(INDEX('Penawaran Harga'!$L$4:$L$33,MATCH($C$2,'Penawaran Harga'!$A$4:$A$33,0)),""))</f>
        <v/>
      </c>
    </row>
    <row r="41" customFormat="false" ht="15" hidden="false" customHeight="false" outlineLevel="0" collapsed="false">
      <c r="A41" s="0" t="s">
        <v>278</v>
      </c>
      <c r="B41" s="26" t="str">
        <f aca="false">IF($C$2="","",IFERROR(INDEX('Penawaran Harga'!$N$4:$N$33,MATCH($C$2,'Penawaran Harga'!$A$4:$A$33,0)),""))</f>
        <v/>
      </c>
    </row>
    <row r="42" customFormat="false" ht="15" hidden="false" customHeight="false" outlineLevel="0" collapsed="false">
      <c r="A42" s="0" t="s">
        <v>279</v>
      </c>
      <c r="B42" s="27" t="str">
        <f aca="false">IF($C$2="","",IFERROR(INDEX('Penawaran Harga'!$O$4:$O$33,MATCH($C$2,'Penawaran Harga'!$A$4:$A$33,0)),""))</f>
        <v/>
      </c>
    </row>
    <row r="44" customFormat="false" ht="15" hidden="false" customHeight="false" outlineLevel="0" collapsed="false">
      <c r="A44" s="8" t="s">
        <v>266</v>
      </c>
    </row>
    <row r="45" customFormat="false" ht="15" hidden="false" customHeight="false" outlineLevel="0" collapsed="false">
      <c r="A45" s="33" t="str">
        <f aca="false">IF($C$2="","",IFERROR(INDEX('Penawaran Harga'!$P$4:$P$33,MATCH($C$2,'Penawaran Harga'!$A$4:$A$33,0)),""))</f>
        <v/>
      </c>
      <c r="B45" s="33"/>
      <c r="C45" s="33"/>
      <c r="D45" s="33"/>
      <c r="E45" s="33"/>
      <c r="F45" s="33"/>
    </row>
    <row r="46" customFormat="false" ht="15" hidden="false" customHeight="false" outlineLevel="0" collapsed="false">
      <c r="A46" s="33"/>
      <c r="B46" s="33"/>
      <c r="C46" s="33"/>
      <c r="D46" s="33"/>
      <c r="E46" s="33"/>
      <c r="F46" s="33"/>
    </row>
    <row r="47" customFormat="false" ht="15" hidden="false" customHeight="false" outlineLevel="0" collapsed="false">
      <c r="A47" s="33"/>
      <c r="B47" s="33"/>
      <c r="C47" s="33"/>
      <c r="D47" s="33"/>
      <c r="E47" s="33"/>
      <c r="F47" s="33"/>
    </row>
    <row r="49" customFormat="false" ht="15" hidden="false" customHeight="false" outlineLevel="0" collapsed="false">
      <c r="A49" s="33" t="str">
        <f aca="false">IF($C$2="","",IFERROR(INDEX('Penawaran Harga'!$Q$4:$Q$33,MATCH($C$2,'Penawaran Harga'!$A$4:$A$33,0)),""))</f>
        <v/>
      </c>
      <c r="B49" s="33"/>
      <c r="C49" s="33"/>
      <c r="D49" s="33"/>
      <c r="E49" s="33"/>
      <c r="F49" s="33"/>
    </row>
    <row r="50" customFormat="false" ht="15" hidden="false" customHeight="false" outlineLevel="0" collapsed="false">
      <c r="A50" s="33"/>
      <c r="B50" s="33"/>
      <c r="C50" s="33"/>
      <c r="D50" s="33"/>
      <c r="E50" s="33"/>
      <c r="F50" s="33"/>
    </row>
    <row r="53" customFormat="false" ht="15" hidden="false" customHeight="false" outlineLevel="0" collapsed="false">
      <c r="D53" s="34" t="str">
        <f aca="false">IF($C$2="","",IFERROR(INDEX('Penawaran Harga'!$R$4:$R$33,MATCH($C$2,'Penawaran Harga'!$A$4:$A$33,0)),""))</f>
        <v/>
      </c>
    </row>
    <row r="54" customFormat="false" ht="15" hidden="false" customHeight="false" outlineLevel="0" collapsed="false">
      <c r="D54" s="0" t="str">
        <f aca="false">IF($C$2="","",IFERROR(INDEX('Penawaran Harga'!$S$4:$S$33,MATCH($C$2,'Penawaran Harga'!$A$4:$A$33,0)),""))</f>
        <v/>
      </c>
    </row>
  </sheetData>
  <mergeCells count="2">
    <mergeCell ref="A45:F47"/>
    <mergeCell ref="A49:F50"/>
  </mergeCells>
  <dataValidations count="1">
    <dataValidation allowBlank="true" errorStyle="stop" operator="between" showDropDown="false" showErrorMessage="false" showInputMessage="false" sqref="C2" type="list">
      <formula1>'Penawaran Harga'!$A$4:$A$33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78D6"/>
    <pageSetUpPr fitToPage="false"/>
  </sheetPr>
  <dimension ref="A1:F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48"/>
    <col collapsed="false" customWidth="true" hidden="false" outlineLevel="0" max="3" min="3" style="0" width="22"/>
  </cols>
  <sheetData>
    <row r="1" customFormat="false" ht="19.7" hidden="false" customHeight="false" outlineLevel="0" collapsed="false">
      <c r="A1" s="1" t="s">
        <v>280</v>
      </c>
    </row>
    <row r="2" customFormat="false" ht="15" hidden="false" customHeight="false" outlineLevel="0" collapsed="false">
      <c r="A2" s="2" t="s">
        <v>281</v>
      </c>
    </row>
    <row r="4" customFormat="false" ht="15" hidden="false" customHeight="false" outlineLevel="0" collapsed="false">
      <c r="A4" s="35" t="s">
        <v>282</v>
      </c>
      <c r="B4" s="36" t="s">
        <v>283</v>
      </c>
    </row>
    <row r="5" customFormat="false" ht="15" hidden="false" customHeight="false" outlineLevel="0" collapsed="false">
      <c r="A5" s="35" t="s">
        <v>275</v>
      </c>
      <c r="B5" s="36" t="s">
        <v>284</v>
      </c>
    </row>
    <row r="6" customFormat="false" ht="15" hidden="false" customHeight="false" outlineLevel="0" collapsed="false">
      <c r="A6" s="35" t="s">
        <v>285</v>
      </c>
      <c r="B6" s="36" t="s">
        <v>286</v>
      </c>
    </row>
    <row r="7" customFormat="false" ht="15" hidden="false" customHeight="false" outlineLevel="0" collapsed="false">
      <c r="A7" s="35" t="s">
        <v>287</v>
      </c>
      <c r="B7" s="36" t="s">
        <v>288</v>
      </c>
    </row>
    <row r="8" customFormat="false" ht="15" hidden="false" customHeight="false" outlineLevel="0" collapsed="false">
      <c r="A8" s="35" t="s">
        <v>269</v>
      </c>
      <c r="B8" s="36" t="s">
        <v>289</v>
      </c>
    </row>
    <row r="10" customFormat="false" ht="60" hidden="false" customHeight="true" outlineLevel="0" collapsed="false">
      <c r="A10" s="37" t="s">
        <v>290</v>
      </c>
      <c r="B10" s="37"/>
      <c r="C10" s="37"/>
      <c r="D10" s="37"/>
      <c r="E10" s="37"/>
      <c r="F10" s="37"/>
    </row>
    <row r="13" customFormat="false" ht="15" hidden="false" customHeight="false" outlineLevel="0" collapsed="false">
      <c r="A13" s="38" t="s">
        <v>291</v>
      </c>
      <c r="B13" s="38"/>
      <c r="C13" s="38"/>
      <c r="D13" s="38"/>
      <c r="E13" s="38"/>
      <c r="F13" s="38"/>
    </row>
    <row r="14" customFormat="false" ht="27.75" hidden="false" customHeight="true" outlineLevel="0" collapsed="false">
      <c r="A14" s="9" t="s">
        <v>292</v>
      </c>
      <c r="B14" s="10" t="s">
        <v>293</v>
      </c>
      <c r="C14" s="10" t="s">
        <v>294</v>
      </c>
    </row>
    <row r="15" customFormat="false" ht="15" hidden="false" customHeight="false" outlineLevel="0" collapsed="false">
      <c r="A15" s="39" t="s">
        <v>295</v>
      </c>
      <c r="B15" s="39" t="s">
        <v>296</v>
      </c>
      <c r="C15" s="39" t="s">
        <v>18</v>
      </c>
    </row>
    <row r="16" customFormat="false" ht="15" hidden="false" customHeight="false" outlineLevel="0" collapsed="false">
      <c r="A16" s="39" t="s">
        <v>297</v>
      </c>
      <c r="B16" s="39" t="s">
        <v>298</v>
      </c>
      <c r="C16" s="39" t="s">
        <v>70</v>
      </c>
    </row>
    <row r="17" customFormat="false" ht="15" hidden="false" customHeight="false" outlineLevel="0" collapsed="false">
      <c r="A17" s="39" t="s">
        <v>299</v>
      </c>
      <c r="B17" s="39" t="s">
        <v>300</v>
      </c>
      <c r="C17" s="39" t="s">
        <v>301</v>
      </c>
    </row>
    <row r="18" customFormat="false" ht="15" hidden="false" customHeight="false" outlineLevel="0" collapsed="false">
      <c r="A18" s="39" t="s">
        <v>302</v>
      </c>
      <c r="B18" s="39" t="s">
        <v>303</v>
      </c>
      <c r="C18" s="39" t="s">
        <v>304</v>
      </c>
    </row>
    <row r="19" customFormat="false" ht="15" hidden="false" customHeight="false" outlineLevel="0" collapsed="false">
      <c r="A19" s="39" t="s">
        <v>305</v>
      </c>
      <c r="B19" s="39" t="s">
        <v>306</v>
      </c>
      <c r="C19" s="39" t="s">
        <v>112</v>
      </c>
    </row>
    <row r="20" customFormat="false" ht="15" hidden="false" customHeight="false" outlineLevel="0" collapsed="false">
      <c r="A20" s="39" t="s">
        <v>307</v>
      </c>
      <c r="B20" s="39" t="s">
        <v>308</v>
      </c>
      <c r="C20" s="39" t="s">
        <v>112</v>
      </c>
    </row>
    <row r="21" customFormat="false" ht="15" hidden="false" customHeight="false" outlineLevel="0" collapsed="false">
      <c r="A21" s="39" t="s">
        <v>309</v>
      </c>
      <c r="B21" s="39" t="s">
        <v>310</v>
      </c>
      <c r="C21" s="39" t="s">
        <v>117</v>
      </c>
    </row>
    <row r="22" customFormat="false" ht="15" hidden="false" customHeight="false" outlineLevel="0" collapsed="false">
      <c r="A22" s="39" t="s">
        <v>311</v>
      </c>
      <c r="B22" s="39" t="s">
        <v>312</v>
      </c>
      <c r="C22" s="39" t="s">
        <v>117</v>
      </c>
    </row>
    <row r="23" customFormat="false" ht="15" hidden="false" customHeight="false" outlineLevel="0" collapsed="false">
      <c r="A23" s="39" t="s">
        <v>313</v>
      </c>
      <c r="B23" s="39" t="s">
        <v>314</v>
      </c>
      <c r="C23" s="39" t="s">
        <v>315</v>
      </c>
    </row>
    <row r="24" customFormat="false" ht="15" hidden="false" customHeight="false" outlineLevel="0" collapsed="false">
      <c r="A24" s="39" t="s">
        <v>316</v>
      </c>
      <c r="B24" s="39" t="s">
        <v>317</v>
      </c>
      <c r="C24" s="39" t="s">
        <v>140</v>
      </c>
    </row>
    <row r="25" customFormat="false" ht="15" hidden="false" customHeight="false" outlineLevel="0" collapsed="false">
      <c r="A25" s="39" t="s">
        <v>318</v>
      </c>
      <c r="B25" s="39" t="s">
        <v>319</v>
      </c>
      <c r="C25" s="39" t="s">
        <v>320</v>
      </c>
    </row>
    <row r="26" customFormat="false" ht="15" hidden="false" customHeight="false" outlineLevel="0" collapsed="false">
      <c r="A26" s="39" t="s">
        <v>321</v>
      </c>
      <c r="B26" s="39" t="s">
        <v>322</v>
      </c>
      <c r="C26" s="39" t="s">
        <v>323</v>
      </c>
    </row>
    <row r="27" customFormat="false" ht="15" hidden="false" customHeight="false" outlineLevel="0" collapsed="false">
      <c r="A27" s="39" t="s">
        <v>324</v>
      </c>
      <c r="B27" s="39" t="s">
        <v>325</v>
      </c>
      <c r="C27" s="39" t="s">
        <v>326</v>
      </c>
    </row>
    <row r="28" customFormat="false" ht="15" hidden="false" customHeight="false" outlineLevel="0" collapsed="false">
      <c r="A28" s="39" t="s">
        <v>327</v>
      </c>
      <c r="B28" s="39" t="s">
        <v>328</v>
      </c>
      <c r="C28" s="39" t="s">
        <v>329</v>
      </c>
    </row>
    <row r="29" customFormat="false" ht="15" hidden="false" customHeight="false" outlineLevel="0" collapsed="false">
      <c r="A29" s="39" t="s">
        <v>330</v>
      </c>
      <c r="B29" s="39" t="s">
        <v>331</v>
      </c>
      <c r="C29" s="39" t="s">
        <v>332</v>
      </c>
    </row>
    <row r="30" customFormat="false" ht="15" hidden="false" customHeight="false" outlineLevel="0" collapsed="false">
      <c r="A30" s="39" t="s">
        <v>333</v>
      </c>
      <c r="B30" s="39" t="s">
        <v>334</v>
      </c>
      <c r="C30" s="39" t="s">
        <v>257</v>
      </c>
    </row>
    <row r="31" customFormat="false" ht="15" hidden="false" customHeight="false" outlineLevel="0" collapsed="false">
      <c r="A31" s="39" t="s">
        <v>335</v>
      </c>
      <c r="B31" s="39" t="s">
        <v>336</v>
      </c>
      <c r="C31" s="39" t="s">
        <v>337</v>
      </c>
    </row>
    <row r="32" customFormat="false" ht="15" hidden="false" customHeight="false" outlineLevel="0" collapsed="false">
      <c r="A32" s="39" t="s">
        <v>338</v>
      </c>
      <c r="B32" s="39" t="s">
        <v>339</v>
      </c>
      <c r="C32" s="39" t="s">
        <v>257</v>
      </c>
    </row>
    <row r="33" customFormat="false" ht="15" hidden="false" customHeight="false" outlineLevel="0" collapsed="false">
      <c r="A33" s="39" t="s">
        <v>340</v>
      </c>
      <c r="B33" s="39" t="s">
        <v>341</v>
      </c>
      <c r="C33" s="39" t="s">
        <v>342</v>
      </c>
    </row>
    <row r="34" customFormat="false" ht="15" hidden="false" customHeight="false" outlineLevel="0" collapsed="false">
      <c r="A34" s="39" t="s">
        <v>343</v>
      </c>
      <c r="B34" s="39" t="s">
        <v>344</v>
      </c>
      <c r="C34" s="39" t="s">
        <v>345</v>
      </c>
    </row>
  </sheetData>
  <mergeCells count="2">
    <mergeCell ref="A10:F10"/>
    <mergeCell ref="A13:F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13</v>
      </c>
      <c r="B1" s="0" t="s">
        <v>14</v>
      </c>
      <c r="C1" s="0" t="s">
        <v>15</v>
      </c>
      <c r="D1" s="0" t="s">
        <v>16</v>
      </c>
      <c r="E1" s="0" t="s">
        <v>17</v>
      </c>
      <c r="F1" s="0" t="s">
        <v>346</v>
      </c>
      <c r="G1" s="0" t="s">
        <v>347</v>
      </c>
    </row>
    <row r="2" customFormat="false" ht="15" hidden="false" customHeight="false" outlineLevel="0" collapsed="false">
      <c r="A2" s="40" t="n">
        <f aca="false">IF('Kas Perusahaan'!A8="","",'Kas Perusahaan'!A8)</f>
        <v>46171</v>
      </c>
      <c r="B2" s="0" t="str">
        <f aca="false">IF('Kas Perusahaan'!A8="","","Kas Perusahaan")</f>
        <v>Kas Perusahaan</v>
      </c>
      <c r="C2" s="0" t="str">
        <f aca="false">'Kas Perusahaan'!B8</f>
        <v>SPK Tiang T Gadai Sakti Bancar Kembar</v>
      </c>
      <c r="D2" s="0" t="str">
        <f aca="false">'Kas Perusahaan'!E8</f>
        <v>Masuk</v>
      </c>
      <c r="E2" s="7" t="n">
        <f aca="false">'Kas Perusahaan'!G8</f>
        <v>4500000</v>
      </c>
      <c r="F2" s="4" t="n">
        <f aca="false">IF(A2="","",A2*1000+ROW())</f>
        <v>46171002</v>
      </c>
      <c r="G2" s="4" t="n">
        <f aca="false">IF(F2="","",RANK(F2,$F$2:$F$181))</f>
        <v>36</v>
      </c>
    </row>
    <row r="3" customFormat="false" ht="15" hidden="false" customHeight="false" outlineLevel="0" collapsed="false">
      <c r="A3" s="40" t="n">
        <f aca="false">IF('Kas Perusahaan'!A9="","",'Kas Perusahaan'!A9)</f>
        <v>46171</v>
      </c>
      <c r="B3" s="0" t="str">
        <f aca="false">IF('Kas Perusahaan'!A9="","","Kas Perusahaan")</f>
        <v>Kas Perusahaan</v>
      </c>
      <c r="C3" s="0" t="str">
        <f aca="false">'Kas Perusahaan'!B9</f>
        <v>SPK Tiang T Gadai Sakti Karang Lewas</v>
      </c>
      <c r="D3" s="0" t="str">
        <f aca="false">'Kas Perusahaan'!E9</f>
        <v>Masuk</v>
      </c>
      <c r="E3" s="7" t="n">
        <f aca="false">'Kas Perusahaan'!G9</f>
        <v>4500000</v>
      </c>
      <c r="F3" s="4" t="n">
        <f aca="false">IF(A3="","",A3*1000+ROW())</f>
        <v>46171003</v>
      </c>
      <c r="G3" s="4" t="n">
        <f aca="false">IF(F3="","",RANK(F3,$F$2:$F$181))</f>
        <v>35</v>
      </c>
    </row>
    <row r="4" customFormat="false" ht="15" hidden="false" customHeight="false" outlineLevel="0" collapsed="false">
      <c r="A4" s="40" t="n">
        <f aca="false">IF('Kas Perusahaan'!A10="","",'Kas Perusahaan'!A10)</f>
        <v>46175</v>
      </c>
      <c r="B4" s="0" t="str">
        <f aca="false">IF('Kas Perusahaan'!A10="","","Kas Perusahaan")</f>
        <v>Kas Perusahaan</v>
      </c>
      <c r="C4" s="0" t="str">
        <f aca="false">'Kas Perusahaan'!B10</f>
        <v>SPK Tmpk Dpn dan Tiang T Gadai Sakti Jembatan 5</v>
      </c>
      <c r="D4" s="0" t="str">
        <f aca="false">'Kas Perusahaan'!E10</f>
        <v>Masuk</v>
      </c>
      <c r="E4" s="7" t="n">
        <f aca="false">'Kas Perusahaan'!G10</f>
        <v>8370000</v>
      </c>
      <c r="F4" s="4" t="n">
        <f aca="false">IF(A4="","",A4*1000+ROW())</f>
        <v>46175004</v>
      </c>
      <c r="G4" s="4" t="n">
        <f aca="false">IF(F4="","",RANK(F4,$F$2:$F$181))</f>
        <v>34</v>
      </c>
    </row>
    <row r="5" customFormat="false" ht="15" hidden="false" customHeight="false" outlineLevel="0" collapsed="false">
      <c r="A5" s="40" t="n">
        <f aca="false">IF('Kas Perusahaan'!A11="","",'Kas Perusahaan'!A11)</f>
        <v>46177</v>
      </c>
      <c r="B5" s="0" t="str">
        <f aca="false">IF('Kas Perusahaan'!A11="","","Kas Perusahaan")</f>
        <v>Kas Perusahaan</v>
      </c>
      <c r="C5" s="0" t="str">
        <f aca="false">'Kas Perusahaan'!B11</f>
        <v>SPK CCTV Gadai Sakti Bantul</v>
      </c>
      <c r="D5" s="0" t="str">
        <f aca="false">'Kas Perusahaan'!E11</f>
        <v>Masuk</v>
      </c>
      <c r="E5" s="7" t="n">
        <f aca="false">'Kas Perusahaan'!G11</f>
        <v>4000000</v>
      </c>
      <c r="F5" s="4" t="n">
        <f aca="false">IF(A5="","",A5*1000+ROW())</f>
        <v>46177005</v>
      </c>
      <c r="G5" s="4" t="n">
        <f aca="false">IF(F5="","",RANK(F5,$F$2:$F$181))</f>
        <v>33</v>
      </c>
    </row>
    <row r="6" customFormat="false" ht="15" hidden="false" customHeight="false" outlineLevel="0" collapsed="false">
      <c r="A6" s="40" t="n">
        <f aca="false">IF('Kas Perusahaan'!A12="","",'Kas Perusahaan'!A12)</f>
        <v>46182</v>
      </c>
      <c r="B6" s="0" t="str">
        <f aca="false">IF('Kas Perusahaan'!A12="","","Kas Perusahaan")</f>
        <v>Kas Perusahaan</v>
      </c>
      <c r="C6" s="0" t="str">
        <f aca="false">'Kas Perusahaan'!B12</f>
        <v>SPK Tiang T Gadai Sakti Ngaglik</v>
      </c>
      <c r="D6" s="0" t="str">
        <f aca="false">'Kas Perusahaan'!E12</f>
        <v>Masuk</v>
      </c>
      <c r="E6" s="7" t="n">
        <f aca="false">'Kas Perusahaan'!G12</f>
        <v>2232000</v>
      </c>
      <c r="F6" s="4" t="n">
        <f aca="false">IF(A6="","",A6*1000+ROW())</f>
        <v>46182006</v>
      </c>
      <c r="G6" s="4" t="n">
        <f aca="false">IF(F6="","",RANK(F6,$F$2:$F$181))</f>
        <v>32</v>
      </c>
    </row>
    <row r="7" customFormat="false" ht="15" hidden="false" customHeight="false" outlineLevel="0" collapsed="false">
      <c r="A7" s="40" t="n">
        <f aca="false">IF('Kas Perusahaan'!A13="","",'Kas Perusahaan'!A13)</f>
        <v>46182</v>
      </c>
      <c r="B7" s="0" t="str">
        <f aca="false">IF('Kas Perusahaan'!A13="","","Kas Perusahaan")</f>
        <v>Kas Perusahaan</v>
      </c>
      <c r="C7" s="0" t="str">
        <f aca="false">'Kas Perusahaan'!B13</f>
        <v>SPK Tiang T NSC Ngaglik</v>
      </c>
      <c r="D7" s="0" t="str">
        <f aca="false">'Kas Perusahaan'!E13</f>
        <v>Masuk</v>
      </c>
      <c r="E7" s="7" t="n">
        <f aca="false">'Kas Perusahaan'!G13</f>
        <v>3019000</v>
      </c>
      <c r="F7" s="4" t="n">
        <f aca="false">IF(A7="","",A7*1000+ROW())</f>
        <v>46182007</v>
      </c>
      <c r="G7" s="4" t="n">
        <f aca="false">IF(F7="","",RANK(F7,$F$2:$F$181))</f>
        <v>31</v>
      </c>
    </row>
    <row r="8" customFormat="false" ht="15" hidden="false" customHeight="false" outlineLevel="0" collapsed="false">
      <c r="A8" s="40" t="n">
        <f aca="false">IF('Kas Perusahaan'!A14="","",'Kas Perusahaan'!A14)</f>
        <v>46182</v>
      </c>
      <c r="B8" s="0" t="str">
        <f aca="false">IF('Kas Perusahaan'!A14="","","Kas Perusahaan")</f>
        <v>Kas Perusahaan</v>
      </c>
      <c r="C8" s="0" t="str">
        <f aca="false">'Kas Perusahaan'!B14</f>
        <v>SPK Tiang T NS Ngaglik</v>
      </c>
      <c r="D8" s="0" t="str">
        <f aca="false">'Kas Perusahaan'!E14</f>
        <v>Masuk</v>
      </c>
      <c r="E8" s="7" t="n">
        <f aca="false">'Kas Perusahaan'!G14</f>
        <v>3019000</v>
      </c>
      <c r="F8" s="4" t="n">
        <f aca="false">IF(A8="","",A8*1000+ROW())</f>
        <v>46182008</v>
      </c>
      <c r="G8" s="4" t="n">
        <f aca="false">IF(F8="","",RANK(F8,$F$2:$F$181))</f>
        <v>30</v>
      </c>
    </row>
    <row r="9" customFormat="false" ht="15" hidden="false" customHeight="false" outlineLevel="0" collapsed="false">
      <c r="A9" s="40" t="n">
        <f aca="false">IF('Kas Perusahaan'!A15="","",'Kas Perusahaan'!A15)</f>
        <v>46183</v>
      </c>
      <c r="B9" s="0" t="str">
        <f aca="false">IF('Kas Perusahaan'!A15="","","Kas Perusahaan")</f>
        <v>Kas Perusahaan</v>
      </c>
      <c r="C9" s="0" t="str">
        <f aca="false">'Kas Perusahaan'!B15</f>
        <v>BAST Tiang T Gadai Sakti Bancar Kembar</v>
      </c>
      <c r="D9" s="0" t="str">
        <f aca="false">'Kas Perusahaan'!E15</f>
        <v>Masuk</v>
      </c>
      <c r="E9" s="7" t="n">
        <f aca="false">'Kas Perusahaan'!G15</f>
        <v>4500000</v>
      </c>
      <c r="F9" s="4" t="n">
        <f aca="false">IF(A9="","",A9*1000+ROW())</f>
        <v>46183009</v>
      </c>
      <c r="G9" s="4" t="n">
        <f aca="false">IF(F9="","",RANK(F9,$F$2:$F$181))</f>
        <v>29</v>
      </c>
    </row>
    <row r="10" customFormat="false" ht="15" hidden="false" customHeight="false" outlineLevel="0" collapsed="false">
      <c r="A10" s="40" t="n">
        <f aca="false">IF('Kas Perusahaan'!A16="","",'Kas Perusahaan'!A16)</f>
        <v>46184</v>
      </c>
      <c r="B10" s="0" t="str">
        <f aca="false">IF('Kas Perusahaan'!A16="","","Kas Perusahaan")</f>
        <v>Kas Perusahaan</v>
      </c>
      <c r="C10" s="0" t="str">
        <f aca="false">'Kas Perusahaan'!B16</f>
        <v>BAST Tiang T Gadai Sakti Karang Lewas</v>
      </c>
      <c r="D10" s="0" t="str">
        <f aca="false">'Kas Perusahaan'!E16</f>
        <v>Masuk</v>
      </c>
      <c r="E10" s="7" t="n">
        <f aca="false">'Kas Perusahaan'!G16</f>
        <v>4500000</v>
      </c>
      <c r="F10" s="4" t="n">
        <f aca="false">IF(A10="","",A10*1000+ROW())</f>
        <v>46184010</v>
      </c>
      <c r="G10" s="4" t="n">
        <f aca="false">IF(F10="","",RANK(F10,$F$2:$F$181))</f>
        <v>28</v>
      </c>
    </row>
    <row r="11" customFormat="false" ht="15" hidden="false" customHeight="false" outlineLevel="0" collapsed="false">
      <c r="A11" s="40" t="n">
        <f aca="false">IF('Kas Perusahaan'!A17="","",'Kas Perusahaan'!A17)</f>
        <v>46186</v>
      </c>
      <c r="B11" s="0" t="str">
        <f aca="false">IF('Kas Perusahaan'!A17="","","Kas Perusahaan")</f>
        <v>Kas Perusahaan</v>
      </c>
      <c r="C11" s="0" t="str">
        <f aca="false">'Kas Perusahaan'!B17</f>
        <v>SPK Tmpk Dpn dan Tiang T Gadai Sakti Sumberharjo</v>
      </c>
      <c r="D11" s="0" t="str">
        <f aca="false">'Kas Perusahaan'!E17</f>
        <v>Masuk</v>
      </c>
      <c r="E11" s="7" t="n">
        <f aca="false">'Kas Perusahaan'!G17</f>
        <v>7769000</v>
      </c>
      <c r="F11" s="4" t="n">
        <f aca="false">IF(A11="","",A11*1000+ROW())</f>
        <v>46186011</v>
      </c>
      <c r="G11" s="4" t="n">
        <f aca="false">IF(F11="","",RANK(F11,$F$2:$F$181))</f>
        <v>27</v>
      </c>
    </row>
    <row r="12" customFormat="false" ht="15" hidden="false" customHeight="false" outlineLevel="0" collapsed="false">
      <c r="A12" s="40" t="n">
        <f aca="false">IF('Kas Perusahaan'!A18="","",'Kas Perusahaan'!A18)</f>
        <v>46186</v>
      </c>
      <c r="B12" s="0" t="str">
        <f aca="false">IF('Kas Perusahaan'!A18="","","Kas Perusahaan")</f>
        <v>Kas Perusahaan</v>
      </c>
      <c r="C12" s="0" t="str">
        <f aca="false">'Kas Perusahaan'!B18</f>
        <v>SPK CCTV Gadai Sakti Sumberharjo</v>
      </c>
      <c r="D12" s="0" t="str">
        <f aca="false">'Kas Perusahaan'!E18</f>
        <v>Masuk</v>
      </c>
      <c r="E12" s="7" t="n">
        <f aca="false">'Kas Perusahaan'!G18</f>
        <v>5250000</v>
      </c>
      <c r="F12" s="4" t="n">
        <f aca="false">IF(A12="","",A12*1000+ROW())</f>
        <v>46186012</v>
      </c>
      <c r="G12" s="4" t="n">
        <f aca="false">IF(F12="","",RANK(F12,$F$2:$F$181))</f>
        <v>26</v>
      </c>
    </row>
    <row r="13" customFormat="false" ht="15" hidden="false" customHeight="false" outlineLevel="0" collapsed="false">
      <c r="A13" s="40" t="n">
        <f aca="false">IF('Kas Perusahaan'!A19="","",'Kas Perusahaan'!A19)</f>
        <v>46190</v>
      </c>
      <c r="B13" s="0" t="str">
        <f aca="false">IF('Kas Perusahaan'!A19="","","Kas Perusahaan")</f>
        <v>Kas Perusahaan</v>
      </c>
      <c r="C13" s="0" t="str">
        <f aca="false">'Kas Perusahaan'!B19</f>
        <v>SPK Tmpk Dpn dan Tiang T Gadai Sakti Tlogosari</v>
      </c>
      <c r="D13" s="0" t="str">
        <f aca="false">'Kas Perusahaan'!E19</f>
        <v>Masuk</v>
      </c>
      <c r="E13" s="7" t="n">
        <f aca="false">'Kas Perusahaan'!G19</f>
        <v>5388000</v>
      </c>
      <c r="F13" s="4" t="n">
        <f aca="false">IF(A13="","",A13*1000+ROW())</f>
        <v>46190013</v>
      </c>
      <c r="G13" s="4" t="n">
        <f aca="false">IF(F13="","",RANK(F13,$F$2:$F$181))</f>
        <v>25</v>
      </c>
    </row>
    <row r="14" customFormat="false" ht="15" hidden="false" customHeight="false" outlineLevel="0" collapsed="false">
      <c r="A14" s="40" t="n">
        <f aca="false">IF('Kas Perusahaan'!A20="","",'Kas Perusahaan'!A20)</f>
        <v>46195</v>
      </c>
      <c r="B14" s="0" t="str">
        <f aca="false">IF('Kas Perusahaan'!A20="","","Kas Perusahaan")</f>
        <v>Kas Perusahaan</v>
      </c>
      <c r="C14" s="0" t="str">
        <f aca="false">'Kas Perusahaan'!B20</f>
        <v>BAST Tmpk Dpn dan Tiang T Gadai Sakti Jembatan 5</v>
      </c>
      <c r="D14" s="0" t="str">
        <f aca="false">'Kas Perusahaan'!E20</f>
        <v>Masuk</v>
      </c>
      <c r="E14" s="7" t="n">
        <f aca="false">'Kas Perusahaan'!G20</f>
        <v>8370000</v>
      </c>
      <c r="F14" s="4" t="n">
        <f aca="false">IF(A14="","",A14*1000+ROW())</f>
        <v>46195014</v>
      </c>
      <c r="G14" s="4" t="n">
        <f aca="false">IF(F14="","",RANK(F14,$F$2:$F$181))</f>
        <v>24</v>
      </c>
    </row>
    <row r="15" customFormat="false" ht="15" hidden="false" customHeight="false" outlineLevel="0" collapsed="false">
      <c r="A15" s="40" t="n">
        <f aca="false">IF('Kas Perusahaan'!A21="","",'Kas Perusahaan'!A21)</f>
        <v>46200</v>
      </c>
      <c r="B15" s="0" t="str">
        <f aca="false">IF('Kas Perusahaan'!A21="","","Kas Perusahaan")</f>
        <v>Kas Perusahaan</v>
      </c>
      <c r="C15" s="0" t="str">
        <f aca="false">'Kas Perusahaan'!B21</f>
        <v>SPK Tampak Depan Gadai Sakti Karangmulya</v>
      </c>
      <c r="D15" s="0" t="str">
        <f aca="false">'Kas Perusahaan'!E21</f>
        <v>Masuk</v>
      </c>
      <c r="E15" s="7" t="n">
        <f aca="false">'Kas Perusahaan'!G21</f>
        <v>5000000</v>
      </c>
      <c r="F15" s="4" t="n">
        <f aca="false">IF(A15="","",A15*1000+ROW())</f>
        <v>46200015</v>
      </c>
      <c r="G15" s="4" t="n">
        <f aca="false">IF(F15="","",RANK(F15,$F$2:$F$181))</f>
        <v>23</v>
      </c>
    </row>
    <row r="16" customFormat="false" ht="15" hidden="false" customHeight="false" outlineLevel="0" collapsed="false">
      <c r="A16" s="40" t="n">
        <f aca="false">IF('Kas Perusahaan'!A22="","",'Kas Perusahaan'!A22)</f>
        <v>46200</v>
      </c>
      <c r="B16" s="0" t="str">
        <f aca="false">IF('Kas Perusahaan'!A22="","","Kas Perusahaan")</f>
        <v>Kas Perusahaan</v>
      </c>
      <c r="C16" s="0" t="str">
        <f aca="false">'Kas Perusahaan'!B22</f>
        <v>SPK Tiang T Gadai Sakti Karangmulya</v>
      </c>
      <c r="D16" s="0" t="str">
        <f aca="false">'Kas Perusahaan'!E22</f>
        <v>Masuk</v>
      </c>
      <c r="E16" s="7" t="n">
        <f aca="false">'Kas Perusahaan'!G22</f>
        <v>7500000</v>
      </c>
      <c r="F16" s="4" t="n">
        <f aca="false">IF(A16="","",A16*1000+ROW())</f>
        <v>46200016</v>
      </c>
      <c r="G16" s="4" t="n">
        <f aca="false">IF(F16="","",RANK(F16,$F$2:$F$181))</f>
        <v>22</v>
      </c>
    </row>
    <row r="17" customFormat="false" ht="15" hidden="false" customHeight="false" outlineLevel="0" collapsed="false">
      <c r="A17" s="40" t="n">
        <f aca="false">IF('Kas Perusahaan'!A23="","",'Kas Perusahaan'!A23)</f>
        <v>46200</v>
      </c>
      <c r="B17" s="0" t="str">
        <f aca="false">IF('Kas Perusahaan'!A23="","","Kas Perusahaan")</f>
        <v>Kas Perusahaan</v>
      </c>
      <c r="C17" s="0" t="str">
        <f aca="false">'Kas Perusahaan'!B23</f>
        <v>SPK Gudang Gadai Sakti Karangmulya</v>
      </c>
      <c r="D17" s="0" t="str">
        <f aca="false">'Kas Perusahaan'!E23</f>
        <v>Masuk</v>
      </c>
      <c r="E17" s="7" t="n">
        <f aca="false">'Kas Perusahaan'!G23</f>
        <v>16500000</v>
      </c>
      <c r="F17" s="4" t="n">
        <f aca="false">IF(A17="","",A17*1000+ROW())</f>
        <v>46200017</v>
      </c>
      <c r="G17" s="4" t="n">
        <f aca="false">IF(F17="","",RANK(F17,$F$2:$F$181))</f>
        <v>21</v>
      </c>
    </row>
    <row r="18" customFormat="false" ht="15" hidden="false" customHeight="false" outlineLevel="0" collapsed="false">
      <c r="A18" s="40" t="n">
        <f aca="false">IF('Kas Perusahaan'!A24="","",'Kas Perusahaan'!A24)</f>
        <v>46204</v>
      </c>
      <c r="B18" s="0" t="str">
        <f aca="false">IF('Kas Perusahaan'!A24="","","Kas Perusahaan")</f>
        <v>Kas Perusahaan</v>
      </c>
      <c r="C18" s="0" t="str">
        <f aca="false">'Kas Perusahaan'!B24</f>
        <v>BAST Tmpk Dpn dan Tiang T Gadai Sakti Tlogosari</v>
      </c>
      <c r="D18" s="0" t="str">
        <f aca="false">'Kas Perusahaan'!E24</f>
        <v>Masuk</v>
      </c>
      <c r="E18" s="7" t="n">
        <f aca="false">'Kas Perusahaan'!G24</f>
        <v>5388000</v>
      </c>
      <c r="F18" s="4" t="n">
        <f aca="false">IF(A18="","",A18*1000+ROW())</f>
        <v>46204018</v>
      </c>
      <c r="G18" s="4" t="n">
        <f aca="false">IF(F18="","",RANK(F18,$F$2:$F$181))</f>
        <v>20</v>
      </c>
    </row>
    <row r="19" customFormat="false" ht="15" hidden="false" customHeight="false" outlineLevel="0" collapsed="false">
      <c r="A19" s="40" t="n">
        <f aca="false">IF('Kas Perusahaan'!A25="","",'Kas Perusahaan'!A25)</f>
        <v>46205</v>
      </c>
      <c r="B19" s="0" t="str">
        <f aca="false">IF('Kas Perusahaan'!A25="","","Kas Perusahaan")</f>
        <v>Kas Perusahaan</v>
      </c>
      <c r="C19" s="0" t="str">
        <f aca="false">'Kas Perusahaan'!B25</f>
        <v>SPK Tmpk Dpn dan Tiang T NSC Cipayung</v>
      </c>
      <c r="D19" s="0" t="str">
        <f aca="false">'Kas Perusahaan'!E25</f>
        <v>Masuk</v>
      </c>
      <c r="E19" s="7" t="n">
        <f aca="false">'Kas Perusahaan'!G25</f>
        <v>9685000</v>
      </c>
      <c r="F19" s="4" t="n">
        <f aca="false">IF(A19="","",A19*1000+ROW())</f>
        <v>46205019</v>
      </c>
      <c r="G19" s="4" t="n">
        <f aca="false">IF(F19="","",RANK(F19,$F$2:$F$181))</f>
        <v>19</v>
      </c>
    </row>
    <row r="20" customFormat="false" ht="15" hidden="false" customHeight="false" outlineLevel="0" collapsed="false">
      <c r="A20" s="40" t="n">
        <f aca="false">IF('Kas Perusahaan'!A26="","",'Kas Perusahaan'!A26)</f>
        <v>46205</v>
      </c>
      <c r="B20" s="0" t="str">
        <f aca="false">IF('Kas Perusahaan'!A26="","","Kas Perusahaan")</f>
        <v>Kas Perusahaan</v>
      </c>
      <c r="C20" s="0" t="str">
        <f aca="false">'Kas Perusahaan'!B26</f>
        <v>SPK Tmpk Dpn dan Tiang T Gadai Sakti Cipayung</v>
      </c>
      <c r="D20" s="0" t="str">
        <f aca="false">'Kas Perusahaan'!E26</f>
        <v>Masuk</v>
      </c>
      <c r="E20" s="7" t="n">
        <f aca="false">'Kas Perusahaan'!G26</f>
        <v>4370000</v>
      </c>
      <c r="F20" s="4" t="n">
        <f aca="false">IF(A20="","",A20*1000+ROW())</f>
        <v>46205020</v>
      </c>
      <c r="G20" s="4" t="n">
        <f aca="false">IF(F20="","",RANK(F20,$F$2:$F$181))</f>
        <v>18</v>
      </c>
    </row>
    <row r="21" customFormat="false" ht="15" hidden="false" customHeight="false" outlineLevel="0" collapsed="false">
      <c r="A21" s="40" t="n">
        <f aca="false">IF('Kas Perusahaan'!A27="","",'Kas Perusahaan'!A27)</f>
        <v>46206</v>
      </c>
      <c r="B21" s="0" t="str">
        <f aca="false">IF('Kas Perusahaan'!A27="","","Kas Perusahaan")</f>
        <v>Kas Perusahaan</v>
      </c>
      <c r="C21" s="0" t="str">
        <f aca="false">'Kas Perusahaan'!B27</f>
        <v>BAST Tmpk Dpn dan Tiang T Gadai Sakti Sumberharjo</v>
      </c>
      <c r="D21" s="0" t="str">
        <f aca="false">'Kas Perusahaan'!E27</f>
        <v>Masuk</v>
      </c>
      <c r="E21" s="7" t="n">
        <f aca="false">'Kas Perusahaan'!G27</f>
        <v>7769000</v>
      </c>
      <c r="F21" s="4" t="n">
        <f aca="false">IF(A21="","",A21*1000+ROW())</f>
        <v>46206021</v>
      </c>
      <c r="G21" s="4" t="n">
        <f aca="false">IF(F21="","",RANK(F21,$F$2:$F$181))</f>
        <v>17</v>
      </c>
    </row>
    <row r="22" customFormat="false" ht="15" hidden="false" customHeight="false" outlineLevel="0" collapsed="false">
      <c r="A22" s="40" t="n">
        <f aca="false">IF('Kas Perusahaan'!A28="","",'Kas Perusahaan'!A28)</f>
        <v>46209</v>
      </c>
      <c r="B22" s="0" t="str">
        <f aca="false">IF('Kas Perusahaan'!A28="","","Kas Perusahaan")</f>
        <v>Kas Perusahaan</v>
      </c>
      <c r="C22" s="0" t="str">
        <f aca="false">'Kas Perusahaan'!B28</f>
        <v>BAST Tiang T Gadai Sakti Ngaglik</v>
      </c>
      <c r="D22" s="0" t="str">
        <f aca="false">'Kas Perusahaan'!E28</f>
        <v>Masuk</v>
      </c>
      <c r="E22" s="7" t="n">
        <f aca="false">'Kas Perusahaan'!G28</f>
        <v>2232000</v>
      </c>
      <c r="F22" s="4" t="n">
        <f aca="false">IF(A22="","",A22*1000+ROW())</f>
        <v>46209022</v>
      </c>
      <c r="G22" s="4" t="n">
        <f aca="false">IF(F22="","",RANK(F22,$F$2:$F$181))</f>
        <v>16</v>
      </c>
    </row>
    <row r="23" customFormat="false" ht="15" hidden="false" customHeight="false" outlineLevel="0" collapsed="false">
      <c r="A23" s="40" t="n">
        <f aca="false">IF('Kas Perusahaan'!A29="","",'Kas Perusahaan'!A29)</f>
        <v>46209</v>
      </c>
      <c r="B23" s="0" t="str">
        <f aca="false">IF('Kas Perusahaan'!A29="","","Kas Perusahaan")</f>
        <v>Kas Perusahaan</v>
      </c>
      <c r="C23" s="0" t="str">
        <f aca="false">'Kas Perusahaan'!B29</f>
        <v>BAST Tiang T NSC Ngaglik</v>
      </c>
      <c r="D23" s="0" t="str">
        <f aca="false">'Kas Perusahaan'!E29</f>
        <v>Masuk</v>
      </c>
      <c r="E23" s="7" t="n">
        <f aca="false">'Kas Perusahaan'!G29</f>
        <v>3019000</v>
      </c>
      <c r="F23" s="4" t="n">
        <f aca="false">IF(A23="","",A23*1000+ROW())</f>
        <v>46209023</v>
      </c>
      <c r="G23" s="4" t="n">
        <f aca="false">IF(F23="","",RANK(F23,$F$2:$F$181))</f>
        <v>15</v>
      </c>
    </row>
    <row r="24" customFormat="false" ht="15" hidden="false" customHeight="false" outlineLevel="0" collapsed="false">
      <c r="A24" s="40" t="n">
        <f aca="false">IF('Kas Perusahaan'!A30="","",'Kas Perusahaan'!A30)</f>
        <v>46209</v>
      </c>
      <c r="B24" s="0" t="str">
        <f aca="false">IF('Kas Perusahaan'!A30="","","Kas Perusahaan")</f>
        <v>Kas Perusahaan</v>
      </c>
      <c r="C24" s="0" t="str">
        <f aca="false">'Kas Perusahaan'!B30</f>
        <v>BAST Tiang T NS Ngaglik</v>
      </c>
      <c r="D24" s="0" t="str">
        <f aca="false">'Kas Perusahaan'!E30</f>
        <v>Masuk</v>
      </c>
      <c r="E24" s="7" t="n">
        <f aca="false">'Kas Perusahaan'!G30</f>
        <v>3019000</v>
      </c>
      <c r="F24" s="4" t="n">
        <f aca="false">IF(A24="","",A24*1000+ROW())</f>
        <v>46209024</v>
      </c>
      <c r="G24" s="4" t="n">
        <f aca="false">IF(F24="","",RANK(F24,$F$2:$F$181))</f>
        <v>14</v>
      </c>
    </row>
    <row r="25" customFormat="false" ht="15" hidden="false" customHeight="false" outlineLevel="0" collapsed="false">
      <c r="A25" s="40" t="n">
        <f aca="false">IF('Kas Perusahaan'!A31="","",'Kas Perusahaan'!A31)</f>
        <v>46218</v>
      </c>
      <c r="B25" s="0" t="str">
        <f aca="false">IF('Kas Perusahaan'!A31="","","Kas Perusahaan")</f>
        <v>Kas Perusahaan</v>
      </c>
      <c r="C25" s="0" t="str">
        <f aca="false">'Kas Perusahaan'!B31</f>
        <v>SPK Tmpk Dpan dan Tiang T Gadai Sakti Bantul</v>
      </c>
      <c r="D25" s="0" t="str">
        <f aca="false">'Kas Perusahaan'!E31</f>
        <v>Masuk</v>
      </c>
      <c r="E25" s="7" t="n">
        <f aca="false">'Kas Perusahaan'!G31</f>
        <v>6080000</v>
      </c>
      <c r="F25" s="4" t="n">
        <f aca="false">IF(A25="","",A25*1000+ROW())</f>
        <v>46218025</v>
      </c>
      <c r="G25" s="4" t="n">
        <f aca="false">IF(F25="","",RANK(F25,$F$2:$F$181))</f>
        <v>13</v>
      </c>
    </row>
    <row r="26" customFormat="false" ht="15" hidden="false" customHeight="false" outlineLevel="0" collapsed="false">
      <c r="A26" s="40" t="n">
        <f aca="false">IF('Kas Perusahaan'!A32="","",'Kas Perusahaan'!A32)</f>
        <v>46218</v>
      </c>
      <c r="B26" s="0" t="str">
        <f aca="false">IF('Kas Perusahaan'!A32="","","Kas Perusahaan")</f>
        <v>Kas Perusahaan</v>
      </c>
      <c r="C26" s="0" t="str">
        <f aca="false">'Kas Perusahaan'!B32</f>
        <v>SPK Tmpk Dpan dan Tiang T NSC Bantul</v>
      </c>
      <c r="D26" s="0" t="str">
        <f aca="false">'Kas Perusahaan'!E32</f>
        <v>Masuk</v>
      </c>
      <c r="E26" s="7" t="n">
        <f aca="false">'Kas Perusahaan'!G32</f>
        <v>9450000</v>
      </c>
      <c r="F26" s="4" t="n">
        <f aca="false">IF(A26="","",A26*1000+ROW())</f>
        <v>46218026</v>
      </c>
      <c r="G26" s="4" t="n">
        <f aca="false">IF(F26="","",RANK(F26,$F$2:$F$181))</f>
        <v>12</v>
      </c>
    </row>
    <row r="27" customFormat="false" ht="15" hidden="false" customHeight="false" outlineLevel="0" collapsed="false">
      <c r="A27" s="40" t="n">
        <f aca="false">IF('Kas Perusahaan'!A33="","",'Kas Perusahaan'!A33)</f>
        <v>46221</v>
      </c>
      <c r="B27" s="0" t="str">
        <f aca="false">IF('Kas Perusahaan'!A33="","","Kas Perusahaan")</f>
        <v>Kas Perusahaan</v>
      </c>
      <c r="C27" s="0" t="str">
        <f aca="false">'Kas Perusahaan'!B33</f>
        <v>SPK Tmpk Dpan dan Tiang T Gadai Sakti Sumur Pecung</v>
      </c>
      <c r="D27" s="0" t="str">
        <f aca="false">'Kas Perusahaan'!E33</f>
        <v>Masuk</v>
      </c>
      <c r="E27" s="7" t="n">
        <f aca="false">'Kas Perusahaan'!G33</f>
        <v>6165000</v>
      </c>
      <c r="F27" s="4" t="n">
        <f aca="false">IF(A27="","",A27*1000+ROW())</f>
        <v>46221027</v>
      </c>
      <c r="G27" s="4" t="n">
        <f aca="false">IF(F27="","",RANK(F27,$F$2:$F$181))</f>
        <v>11</v>
      </c>
    </row>
    <row r="28" customFormat="false" ht="15" hidden="false" customHeight="false" outlineLevel="0" collapsed="false">
      <c r="A28" s="40" t="n">
        <f aca="false">IF('Kas Perusahaan'!A34="","",'Kas Perusahaan'!A34)</f>
        <v>46221</v>
      </c>
      <c r="B28" s="0" t="str">
        <f aca="false">IF('Kas Perusahaan'!A34="","","Kas Perusahaan")</f>
        <v>Kas Perusahaan</v>
      </c>
      <c r="C28" s="0" t="str">
        <f aca="false">'Kas Perusahaan'!B34</f>
        <v>SPK Tmpk Dpan dan Tiang T NSC Sumur Pecung</v>
      </c>
      <c r="D28" s="0" t="str">
        <f aca="false">'Kas Perusahaan'!E34</f>
        <v>Masuk</v>
      </c>
      <c r="E28" s="7" t="n">
        <f aca="false">'Kas Perusahaan'!G34</f>
        <v>7869000</v>
      </c>
      <c r="F28" s="4" t="n">
        <f aca="false">IF(A28="","",A28*1000+ROW())</f>
        <v>46221028</v>
      </c>
      <c r="G28" s="4" t="n">
        <f aca="false">IF(F28="","",RANK(F28,$F$2:$F$181))</f>
        <v>10</v>
      </c>
    </row>
    <row r="29" customFormat="false" ht="15" hidden="false" customHeight="false" outlineLevel="0" collapsed="false">
      <c r="A29" s="40" t="n">
        <f aca="false">IF('Kas Perusahaan'!A35="","",'Kas Perusahaan'!A35)</f>
        <v>46230</v>
      </c>
      <c r="B29" s="0" t="str">
        <f aca="false">IF('Kas Perusahaan'!A35="","","Kas Perusahaan")</f>
        <v>Kas Perusahaan</v>
      </c>
      <c r="C29" s="0" t="str">
        <f aca="false">'Kas Perusahaan'!B35</f>
        <v>BAST Tampak Depan Gadai Sakti Karangmulya</v>
      </c>
      <c r="D29" s="0" t="str">
        <f aca="false">'Kas Perusahaan'!E35</f>
        <v>Masuk</v>
      </c>
      <c r="E29" s="7" t="n">
        <f aca="false">'Kas Perusahaan'!G35</f>
        <v>7518000</v>
      </c>
      <c r="F29" s="4" t="n">
        <f aca="false">IF(A29="","",A29*1000+ROW())</f>
        <v>46230029</v>
      </c>
      <c r="G29" s="4" t="n">
        <f aca="false">IF(F29="","",RANK(F29,$F$2:$F$181))</f>
        <v>9</v>
      </c>
    </row>
    <row r="30" customFormat="false" ht="15" hidden="false" customHeight="false" outlineLevel="0" collapsed="false">
      <c r="A30" s="40" t="n">
        <f aca="false">IF('Kas Perusahaan'!A36="","",'Kas Perusahaan'!A36)</f>
        <v>46231</v>
      </c>
      <c r="B30" s="0" t="str">
        <f aca="false">IF('Kas Perusahaan'!A36="","","Kas Perusahaan")</f>
        <v>Kas Perusahaan</v>
      </c>
      <c r="C30" s="0" t="str">
        <f aca="false">'Kas Perusahaan'!B36</f>
        <v>BAST Tiang T Gadai Sakti Karangmulya</v>
      </c>
      <c r="D30" s="0" t="str">
        <f aca="false">'Kas Perusahaan'!E36</f>
        <v>Masuk</v>
      </c>
      <c r="E30" s="7" t="n">
        <f aca="false">'Kas Perusahaan'!G36</f>
        <v>5000000</v>
      </c>
      <c r="F30" s="4" t="n">
        <f aca="false">IF(A30="","",A30*1000+ROW())</f>
        <v>46231030</v>
      </c>
      <c r="G30" s="4" t="n">
        <f aca="false">IF(F30="","",RANK(F30,$F$2:$F$181))</f>
        <v>8</v>
      </c>
    </row>
    <row r="31" customFormat="false" ht="15" hidden="false" customHeight="false" outlineLevel="0" collapsed="false">
      <c r="A31" s="40" t="n">
        <f aca="false">IF('Kas Perusahaan'!A37="","",'Kas Perusahaan'!A37)</f>
        <v>46232</v>
      </c>
      <c r="B31" s="0" t="str">
        <f aca="false">IF('Kas Perusahaan'!A37="","","Kas Perusahaan")</f>
        <v>Kas Perusahaan</v>
      </c>
      <c r="C31" s="0" t="str">
        <f aca="false">'Kas Perusahaan'!B37</f>
        <v>BAST Tmpk Dpn dan Tiang T Gadai Sakti Cipayung</v>
      </c>
      <c r="D31" s="0" t="str">
        <f aca="false">'Kas Perusahaan'!E37</f>
        <v>Masuk</v>
      </c>
      <c r="E31" s="7" t="n">
        <f aca="false">'Kas Perusahaan'!G37</f>
        <v>4370000</v>
      </c>
      <c r="F31" s="4" t="n">
        <f aca="false">IF(A31="","",A31*1000+ROW())</f>
        <v>46232031</v>
      </c>
      <c r="G31" s="4" t="n">
        <f aca="false">IF(F31="","",RANK(F31,$F$2:$F$181))</f>
        <v>7</v>
      </c>
    </row>
    <row r="32" customFormat="false" ht="15" hidden="false" customHeight="false" outlineLevel="0" collapsed="false">
      <c r="A32" s="40" t="n">
        <f aca="false">IF('Kas Perusahaan'!A38="","",'Kas Perusahaan'!A38)</f>
        <v>46233</v>
      </c>
      <c r="B32" s="0" t="str">
        <f aca="false">IF('Kas Perusahaan'!A38="","","Kas Perusahaan")</f>
        <v>Kas Perusahaan</v>
      </c>
      <c r="C32" s="0" t="str">
        <f aca="false">'Kas Perusahaan'!B38</f>
        <v>BAST Tmpk Dpn dan Tiang T NSC Cipayung</v>
      </c>
      <c r="D32" s="0" t="str">
        <f aca="false">'Kas Perusahaan'!E38</f>
        <v>Masuk</v>
      </c>
      <c r="E32" s="7" t="n">
        <f aca="false">'Kas Perusahaan'!G38</f>
        <v>9685000</v>
      </c>
      <c r="F32" s="4" t="n">
        <f aca="false">IF(A32="","",A32*1000+ROW())</f>
        <v>46233032</v>
      </c>
      <c r="G32" s="4" t="n">
        <f aca="false">IF(F32="","",RANK(F32,$F$2:$F$181))</f>
        <v>6</v>
      </c>
    </row>
    <row r="33" customFormat="false" ht="15" hidden="false" customHeight="false" outlineLevel="0" collapsed="false">
      <c r="A33" s="40" t="n">
        <f aca="false">IF('Kas Perusahaan'!A39="","",'Kas Perusahaan'!A39)</f>
        <v>46240</v>
      </c>
      <c r="B33" s="0" t="str">
        <f aca="false">IF('Kas Perusahaan'!A39="","","Kas Perusahaan")</f>
        <v>Kas Perusahaan</v>
      </c>
      <c r="C33" s="0" t="str">
        <f aca="false">'Kas Perusahaan'!B39</f>
        <v>SPK Tampak Depan Gadai Sakti Kalideres</v>
      </c>
      <c r="D33" s="0" t="str">
        <f aca="false">'Kas Perusahaan'!E39</f>
        <v>Masuk</v>
      </c>
      <c r="E33" s="7" t="n">
        <f aca="false">'Kas Perusahaan'!G39</f>
        <v>2626000</v>
      </c>
      <c r="F33" s="4" t="n">
        <f aca="false">IF(A33="","",A33*1000+ROW())</f>
        <v>46240033</v>
      </c>
      <c r="G33" s="4" t="n">
        <f aca="false">IF(F33="","",RANK(F33,$F$2:$F$181))</f>
        <v>5</v>
      </c>
    </row>
    <row r="34" customFormat="false" ht="15" hidden="false" customHeight="false" outlineLevel="0" collapsed="false">
      <c r="A34" s="40" t="n">
        <f aca="false">IF('Kas Perusahaan'!A40="","",'Kas Perusahaan'!A40)</f>
        <v>46240</v>
      </c>
      <c r="B34" s="0" t="str">
        <f aca="false">IF('Kas Perusahaan'!A40="","","Kas Perusahaan")</f>
        <v>Kas Perusahaan</v>
      </c>
      <c r="C34" s="0" t="str">
        <f aca="false">'Kas Perusahaan'!B40</f>
        <v>SPK Tampak Depan NSC Kalideres</v>
      </c>
      <c r="D34" s="0" t="str">
        <f aca="false">'Kas Perusahaan'!E40</f>
        <v>Masuk</v>
      </c>
      <c r="E34" s="7" t="n">
        <f aca="false">'Kas Perusahaan'!G40</f>
        <v>4790000</v>
      </c>
      <c r="F34" s="4" t="n">
        <f aca="false">IF(A34="","",A34*1000+ROW())</f>
        <v>46240034</v>
      </c>
      <c r="G34" s="4" t="n">
        <f aca="false">IF(F34="","",RANK(F34,$F$2:$F$181))</f>
        <v>4</v>
      </c>
    </row>
    <row r="35" customFormat="false" ht="15" hidden="false" customHeight="false" outlineLevel="0" collapsed="false">
      <c r="A35" s="40" t="n">
        <f aca="false">IF('Kas Perusahaan'!A41="","",'Kas Perusahaan'!A41)</f>
        <v>46240</v>
      </c>
      <c r="B35" s="0" t="str">
        <f aca="false">IF('Kas Perusahaan'!A41="","","Kas Perusahaan")</f>
        <v>Kas Perusahaan</v>
      </c>
      <c r="C35" s="0" t="str">
        <f aca="false">'Kas Perusahaan'!B41</f>
        <v>SPK Gudang Gadai Sakti Sukadami</v>
      </c>
      <c r="D35" s="0" t="str">
        <f aca="false">'Kas Perusahaan'!E41</f>
        <v>Masuk</v>
      </c>
      <c r="E35" s="7" t="n">
        <f aca="false">'Kas Perusahaan'!G41</f>
        <v>9423000</v>
      </c>
      <c r="F35" s="4" t="n">
        <f aca="false">IF(A35="","",A35*1000+ROW())</f>
        <v>46240035</v>
      </c>
      <c r="G35" s="4" t="n">
        <f aca="false">IF(F35="","",RANK(F35,$F$2:$F$181))</f>
        <v>3</v>
      </c>
    </row>
    <row r="36" customFormat="false" ht="15" hidden="false" customHeight="false" outlineLevel="0" collapsed="false">
      <c r="A36" s="40" t="n">
        <f aca="false">IF('Kas Perusahaan'!A42="","",'Kas Perusahaan'!A42)</f>
        <v>46241</v>
      </c>
      <c r="B36" s="0" t="str">
        <f aca="false">IF('Kas Perusahaan'!A42="","","Kas Perusahaan")</f>
        <v>Kas Perusahaan</v>
      </c>
      <c r="C36" s="0" t="str">
        <f aca="false">'Kas Perusahaan'!B42</f>
        <v>SPK Tmpk Dpan dan Tiang T Gadai Sakti Kutoarjo</v>
      </c>
      <c r="D36" s="0" t="str">
        <f aca="false">'Kas Perusahaan'!E42</f>
        <v>Masuk</v>
      </c>
      <c r="E36" s="7" t="n">
        <f aca="false">'Kas Perusahaan'!G42</f>
        <v>5940000</v>
      </c>
      <c r="F36" s="4" t="n">
        <f aca="false">IF(A36="","",A36*1000+ROW())</f>
        <v>46241036</v>
      </c>
      <c r="G36" s="4" t="n">
        <f aca="false">IF(F36="","",RANK(F36,$F$2:$F$181))</f>
        <v>2</v>
      </c>
    </row>
    <row r="37" customFormat="false" ht="15" hidden="false" customHeight="false" outlineLevel="0" collapsed="false">
      <c r="A37" s="40" t="n">
        <f aca="false">IF('Kas Perusahaan'!A43="","",'Kas Perusahaan'!A43)</f>
        <v>46241</v>
      </c>
      <c r="B37" s="0" t="str">
        <f aca="false">IF('Kas Perusahaan'!A43="","","Kas Perusahaan")</f>
        <v>Kas Perusahaan</v>
      </c>
      <c r="C37" s="0" t="str">
        <f aca="false">'Kas Perusahaan'!B43</f>
        <v>SPK Tmpk Dpan dan Tiang T NSC Kutoarjo</v>
      </c>
      <c r="D37" s="0" t="str">
        <f aca="false">'Kas Perusahaan'!E43</f>
        <v>Masuk</v>
      </c>
      <c r="E37" s="7" t="n">
        <f aca="false">'Kas Perusahaan'!G43</f>
        <v>4766000</v>
      </c>
      <c r="F37" s="4" t="n">
        <f aca="false">IF(A37="","",A37*1000+ROW())</f>
        <v>46241037</v>
      </c>
      <c r="G37" s="4" t="n">
        <f aca="false">IF(F37="","",RANK(F37,$F$2:$F$181))</f>
        <v>1</v>
      </c>
    </row>
    <row r="38" customFormat="false" ht="15" hidden="false" customHeight="false" outlineLevel="0" collapsed="false">
      <c r="A38" s="40" t="str">
        <f aca="false">IF('Kas Perusahaan'!A44="","",'Kas Perusahaan'!A44)</f>
        <v/>
      </c>
      <c r="B38" s="0" t="str">
        <f aca="false">IF('Kas Perusahaan'!A44="","","Kas Perusahaan")</f>
        <v/>
      </c>
      <c r="C38" s="4" t="n">
        <f aca="false">'Kas Perusahaan'!B44</f>
        <v>0</v>
      </c>
      <c r="D38" s="4" t="n">
        <f aca="false">'Kas Perusahaan'!E44</f>
        <v>0</v>
      </c>
      <c r="E38" s="7" t="n">
        <f aca="false">'Kas Perusahaan'!G44</f>
        <v>0</v>
      </c>
      <c r="F38" s="0" t="str">
        <f aca="false">IF(A38="","",A38*1000+ROW())</f>
        <v/>
      </c>
      <c r="G38" s="0" t="str">
        <f aca="false">IF(F38="","",RANK(F38,$F$2:$F$181))</f>
        <v/>
      </c>
    </row>
    <row r="39" customFormat="false" ht="15" hidden="false" customHeight="false" outlineLevel="0" collapsed="false">
      <c r="A39" s="40" t="str">
        <f aca="false">IF('Kas Perusahaan'!A45="","",'Kas Perusahaan'!A45)</f>
        <v/>
      </c>
      <c r="B39" s="0" t="str">
        <f aca="false">IF('Kas Perusahaan'!A45="","","Kas Perusahaan")</f>
        <v/>
      </c>
      <c r="C39" s="4" t="n">
        <f aca="false">'Kas Perusahaan'!B45</f>
        <v>0</v>
      </c>
      <c r="D39" s="4" t="n">
        <f aca="false">'Kas Perusahaan'!E45</f>
        <v>0</v>
      </c>
      <c r="E39" s="7" t="n">
        <f aca="false">'Kas Perusahaan'!G45</f>
        <v>0</v>
      </c>
      <c r="F39" s="0" t="str">
        <f aca="false">IF(A39="","",A39*1000+ROW())</f>
        <v/>
      </c>
      <c r="G39" s="0" t="str">
        <f aca="false">IF(F39="","",RANK(F39,$F$2:$F$181))</f>
        <v/>
      </c>
    </row>
    <row r="40" customFormat="false" ht="15" hidden="false" customHeight="false" outlineLevel="0" collapsed="false">
      <c r="A40" s="40" t="str">
        <f aca="false">IF('Kas Perusahaan'!A46="","",'Kas Perusahaan'!A46)</f>
        <v/>
      </c>
      <c r="B40" s="0" t="str">
        <f aca="false">IF('Kas Perusahaan'!A46="","","Kas Perusahaan")</f>
        <v/>
      </c>
      <c r="C40" s="4" t="n">
        <f aca="false">'Kas Perusahaan'!B46</f>
        <v>0</v>
      </c>
      <c r="D40" s="4" t="n">
        <f aca="false">'Kas Perusahaan'!E46</f>
        <v>0</v>
      </c>
      <c r="E40" s="7" t="n">
        <f aca="false">'Kas Perusahaan'!G46</f>
        <v>0</v>
      </c>
      <c r="F40" s="0" t="str">
        <f aca="false">IF(A40="","",A40*1000+ROW())</f>
        <v/>
      </c>
      <c r="G40" s="0" t="str">
        <f aca="false">IF(F40="","",RANK(F40,$F$2:$F$181))</f>
        <v/>
      </c>
    </row>
    <row r="41" customFormat="false" ht="15" hidden="false" customHeight="false" outlineLevel="0" collapsed="false">
      <c r="A41" s="40" t="str">
        <f aca="false">IF('Kas Perusahaan'!A47="","",'Kas Perusahaan'!A47)</f>
        <v/>
      </c>
      <c r="B41" s="0" t="str">
        <f aca="false">IF('Kas Perusahaan'!A47="","","Kas Perusahaan")</f>
        <v/>
      </c>
      <c r="C41" s="4" t="n">
        <f aca="false">'Kas Perusahaan'!B47</f>
        <v>0</v>
      </c>
      <c r="D41" s="4" t="n">
        <f aca="false">'Kas Perusahaan'!E47</f>
        <v>0</v>
      </c>
      <c r="E41" s="7" t="n">
        <f aca="false">'Kas Perusahaan'!G47</f>
        <v>0</v>
      </c>
      <c r="F41" s="0" t="str">
        <f aca="false">IF(A41="","",A41*1000+ROW())</f>
        <v/>
      </c>
      <c r="G41" s="0" t="str">
        <f aca="false">IF(F41="","",RANK(F41,$F$2:$F$181))</f>
        <v/>
      </c>
    </row>
    <row r="42" customFormat="false" ht="15" hidden="false" customHeight="false" outlineLevel="0" collapsed="false">
      <c r="A42" s="40" t="str">
        <f aca="false">IF('Kas Perusahaan'!A48="","",'Kas Perusahaan'!A48)</f>
        <v/>
      </c>
      <c r="B42" s="0" t="str">
        <f aca="false">IF('Kas Perusahaan'!A48="","","Kas Perusahaan")</f>
        <v/>
      </c>
      <c r="C42" s="4" t="n">
        <f aca="false">'Kas Perusahaan'!B48</f>
        <v>0</v>
      </c>
      <c r="D42" s="4" t="n">
        <f aca="false">'Kas Perusahaan'!E48</f>
        <v>0</v>
      </c>
      <c r="E42" s="7" t="n">
        <f aca="false">'Kas Perusahaan'!G48</f>
        <v>0</v>
      </c>
      <c r="F42" s="0" t="str">
        <f aca="false">IF(A42="","",A42*1000+ROW())</f>
        <v/>
      </c>
      <c r="G42" s="0" t="str">
        <f aca="false">IF(F42="","",RANK(F42,$F$2:$F$181))</f>
        <v/>
      </c>
    </row>
    <row r="43" customFormat="false" ht="15" hidden="false" customHeight="false" outlineLevel="0" collapsed="false">
      <c r="A43" s="40" t="str">
        <f aca="false">IF('Kas Perusahaan'!A49="","",'Kas Perusahaan'!A49)</f>
        <v/>
      </c>
      <c r="B43" s="0" t="str">
        <f aca="false">IF('Kas Perusahaan'!A49="","","Kas Perusahaan")</f>
        <v/>
      </c>
      <c r="C43" s="4" t="n">
        <f aca="false">'Kas Perusahaan'!B49</f>
        <v>0</v>
      </c>
      <c r="D43" s="4" t="n">
        <f aca="false">'Kas Perusahaan'!E49</f>
        <v>0</v>
      </c>
      <c r="E43" s="7" t="n">
        <f aca="false">'Kas Perusahaan'!G49</f>
        <v>0</v>
      </c>
      <c r="F43" s="0" t="str">
        <f aca="false">IF(A43="","",A43*1000+ROW())</f>
        <v/>
      </c>
      <c r="G43" s="0" t="str">
        <f aca="false">IF(F43="","",RANK(F43,$F$2:$F$181))</f>
        <v/>
      </c>
    </row>
    <row r="44" customFormat="false" ht="15" hidden="false" customHeight="false" outlineLevel="0" collapsed="false">
      <c r="A44" s="40" t="str">
        <f aca="false">IF('Kas Perusahaan'!A50="","",'Kas Perusahaan'!A50)</f>
        <v/>
      </c>
      <c r="B44" s="0" t="str">
        <f aca="false">IF('Kas Perusahaan'!A50="","","Kas Perusahaan")</f>
        <v/>
      </c>
      <c r="C44" s="4" t="n">
        <f aca="false">'Kas Perusahaan'!B50</f>
        <v>0</v>
      </c>
      <c r="D44" s="4" t="n">
        <f aca="false">'Kas Perusahaan'!E50</f>
        <v>0</v>
      </c>
      <c r="E44" s="7" t="n">
        <f aca="false">'Kas Perusahaan'!G50</f>
        <v>0</v>
      </c>
      <c r="F44" s="0" t="str">
        <f aca="false">IF(A44="","",A44*1000+ROW())</f>
        <v/>
      </c>
      <c r="G44" s="0" t="str">
        <f aca="false">IF(F44="","",RANK(F44,$F$2:$F$181))</f>
        <v/>
      </c>
    </row>
    <row r="45" customFormat="false" ht="15" hidden="false" customHeight="false" outlineLevel="0" collapsed="false">
      <c r="A45" s="40" t="str">
        <f aca="false">IF('Kas Perusahaan'!A51="","",'Kas Perusahaan'!A51)</f>
        <v/>
      </c>
      <c r="B45" s="0" t="str">
        <f aca="false">IF('Kas Perusahaan'!A51="","","Kas Perusahaan")</f>
        <v/>
      </c>
      <c r="C45" s="4" t="n">
        <f aca="false">'Kas Perusahaan'!B51</f>
        <v>0</v>
      </c>
      <c r="D45" s="4" t="n">
        <f aca="false">'Kas Perusahaan'!E51</f>
        <v>0</v>
      </c>
      <c r="E45" s="7" t="n">
        <f aca="false">'Kas Perusahaan'!G51</f>
        <v>0</v>
      </c>
      <c r="F45" s="0" t="str">
        <f aca="false">IF(A45="","",A45*1000+ROW())</f>
        <v/>
      </c>
      <c r="G45" s="0" t="str">
        <f aca="false">IF(F45="","",RANK(F45,$F$2:$F$181))</f>
        <v/>
      </c>
    </row>
    <row r="46" customFormat="false" ht="15" hidden="false" customHeight="false" outlineLevel="0" collapsed="false">
      <c r="A46" s="40" t="str">
        <f aca="false">IF('Kas Perusahaan'!A52="","",'Kas Perusahaan'!A52)</f>
        <v/>
      </c>
      <c r="B46" s="0" t="str">
        <f aca="false">IF('Kas Perusahaan'!A52="","","Kas Perusahaan")</f>
        <v/>
      </c>
      <c r="C46" s="4" t="n">
        <f aca="false">'Kas Perusahaan'!B52</f>
        <v>0</v>
      </c>
      <c r="D46" s="4" t="n">
        <f aca="false">'Kas Perusahaan'!E52</f>
        <v>0</v>
      </c>
      <c r="E46" s="7" t="n">
        <f aca="false">'Kas Perusahaan'!G52</f>
        <v>0</v>
      </c>
      <c r="F46" s="0" t="str">
        <f aca="false">IF(A46="","",A46*1000+ROW())</f>
        <v/>
      </c>
      <c r="G46" s="0" t="str">
        <f aca="false">IF(F46="","",RANK(F46,$F$2:$F$181))</f>
        <v/>
      </c>
    </row>
    <row r="47" customFormat="false" ht="15" hidden="false" customHeight="false" outlineLevel="0" collapsed="false">
      <c r="A47" s="40" t="str">
        <f aca="false">IF('Kas Perusahaan'!A53="","",'Kas Perusahaan'!A53)</f>
        <v/>
      </c>
      <c r="B47" s="0" t="str">
        <f aca="false">IF('Kas Perusahaan'!A53="","","Kas Perusahaan")</f>
        <v/>
      </c>
      <c r="C47" s="4" t="n">
        <f aca="false">'Kas Perusahaan'!B53</f>
        <v>0</v>
      </c>
      <c r="D47" s="4" t="n">
        <f aca="false">'Kas Perusahaan'!E53</f>
        <v>0</v>
      </c>
      <c r="E47" s="7" t="n">
        <f aca="false">'Kas Perusahaan'!G53</f>
        <v>0</v>
      </c>
      <c r="F47" s="0" t="str">
        <f aca="false">IF(A47="","",A47*1000+ROW())</f>
        <v/>
      </c>
      <c r="G47" s="0" t="str">
        <f aca="false">IF(F47="","",RANK(F47,$F$2:$F$181))</f>
        <v/>
      </c>
    </row>
    <row r="48" customFormat="false" ht="15" hidden="false" customHeight="false" outlineLevel="0" collapsed="false">
      <c r="A48" s="40" t="str">
        <f aca="false">IF('Kas Perusahaan'!A54="","",'Kas Perusahaan'!A54)</f>
        <v/>
      </c>
      <c r="B48" s="0" t="str">
        <f aca="false">IF('Kas Perusahaan'!A54="","","Kas Perusahaan")</f>
        <v/>
      </c>
      <c r="C48" s="4" t="n">
        <f aca="false">'Kas Perusahaan'!B54</f>
        <v>0</v>
      </c>
      <c r="D48" s="4" t="n">
        <f aca="false">'Kas Perusahaan'!E54</f>
        <v>0</v>
      </c>
      <c r="E48" s="7" t="n">
        <f aca="false">'Kas Perusahaan'!G54</f>
        <v>0</v>
      </c>
      <c r="F48" s="0" t="str">
        <f aca="false">IF(A48="","",A48*1000+ROW())</f>
        <v/>
      </c>
      <c r="G48" s="0" t="str">
        <f aca="false">IF(F48="","",RANK(F48,$F$2:$F$181))</f>
        <v/>
      </c>
    </row>
    <row r="49" customFormat="false" ht="15" hidden="false" customHeight="false" outlineLevel="0" collapsed="false">
      <c r="A49" s="40" t="str">
        <f aca="false">IF('Kas Perusahaan'!A55="","",'Kas Perusahaan'!A55)</f>
        <v/>
      </c>
      <c r="B49" s="0" t="str">
        <f aca="false">IF('Kas Perusahaan'!A55="","","Kas Perusahaan")</f>
        <v/>
      </c>
      <c r="C49" s="4" t="n">
        <f aca="false">'Kas Perusahaan'!B55</f>
        <v>0</v>
      </c>
      <c r="D49" s="4" t="n">
        <f aca="false">'Kas Perusahaan'!E55</f>
        <v>0</v>
      </c>
      <c r="E49" s="7" t="n">
        <f aca="false">'Kas Perusahaan'!G55</f>
        <v>0</v>
      </c>
      <c r="F49" s="0" t="str">
        <f aca="false">IF(A49="","",A49*1000+ROW())</f>
        <v/>
      </c>
      <c r="G49" s="0" t="str">
        <f aca="false">IF(F49="","",RANK(F49,$F$2:$F$181))</f>
        <v/>
      </c>
    </row>
    <row r="50" customFormat="false" ht="15" hidden="false" customHeight="false" outlineLevel="0" collapsed="false">
      <c r="A50" s="40" t="str">
        <f aca="false">IF('Kas Perusahaan'!A56="","",'Kas Perusahaan'!A56)</f>
        <v/>
      </c>
      <c r="B50" s="0" t="str">
        <f aca="false">IF('Kas Perusahaan'!A56="","","Kas Perusahaan")</f>
        <v/>
      </c>
      <c r="C50" s="4" t="n">
        <f aca="false">'Kas Perusahaan'!B56</f>
        <v>0</v>
      </c>
      <c r="D50" s="4" t="n">
        <f aca="false">'Kas Perusahaan'!E56</f>
        <v>0</v>
      </c>
      <c r="E50" s="7" t="n">
        <f aca="false">'Kas Perusahaan'!G56</f>
        <v>0</v>
      </c>
      <c r="F50" s="0" t="str">
        <f aca="false">IF(A50="","",A50*1000+ROW())</f>
        <v/>
      </c>
      <c r="G50" s="0" t="str">
        <f aca="false">IF(F50="","",RANK(F50,$F$2:$F$181))</f>
        <v/>
      </c>
    </row>
    <row r="51" customFormat="false" ht="15" hidden="false" customHeight="false" outlineLevel="0" collapsed="false">
      <c r="A51" s="40" t="str">
        <f aca="false">IF('Kas Perusahaan'!A57="","",'Kas Perusahaan'!A57)</f>
        <v/>
      </c>
      <c r="B51" s="0" t="str">
        <f aca="false">IF('Kas Perusahaan'!A57="","","Kas Perusahaan")</f>
        <v/>
      </c>
      <c r="C51" s="4" t="n">
        <f aca="false">'Kas Perusahaan'!B57</f>
        <v>0</v>
      </c>
      <c r="D51" s="4" t="n">
        <f aca="false">'Kas Perusahaan'!E57</f>
        <v>0</v>
      </c>
      <c r="E51" s="7" t="n">
        <f aca="false">'Kas Perusahaan'!G57</f>
        <v>0</v>
      </c>
      <c r="F51" s="0" t="str">
        <f aca="false">IF(A51="","",A51*1000+ROW())</f>
        <v/>
      </c>
      <c r="G51" s="0" t="str">
        <f aca="false">IF(F51="","",RANK(F51,$F$2:$F$181))</f>
        <v/>
      </c>
    </row>
    <row r="52" customFormat="false" ht="15" hidden="false" customHeight="false" outlineLevel="0" collapsed="false">
      <c r="A52" s="40" t="str">
        <f aca="false">IF('Kas Perusahaan'!A58="","",'Kas Perusahaan'!A58)</f>
        <v/>
      </c>
      <c r="B52" s="0" t="str">
        <f aca="false">IF('Kas Perusahaan'!A58="","","Kas Perusahaan")</f>
        <v/>
      </c>
      <c r="C52" s="4" t="n">
        <f aca="false">'Kas Perusahaan'!B58</f>
        <v>0</v>
      </c>
      <c r="D52" s="4" t="n">
        <f aca="false">'Kas Perusahaan'!E58</f>
        <v>0</v>
      </c>
      <c r="E52" s="7" t="n">
        <f aca="false">'Kas Perusahaan'!G58</f>
        <v>0</v>
      </c>
      <c r="F52" s="0" t="str">
        <f aca="false">IF(A52="","",A52*1000+ROW())</f>
        <v/>
      </c>
      <c r="G52" s="0" t="str">
        <f aca="false">IF(F52="","",RANK(F52,$F$2:$F$181))</f>
        <v/>
      </c>
    </row>
    <row r="53" customFormat="false" ht="15" hidden="false" customHeight="false" outlineLevel="0" collapsed="false">
      <c r="A53" s="40" t="str">
        <f aca="false">IF('Kas Perusahaan'!A59="","",'Kas Perusahaan'!A59)</f>
        <v/>
      </c>
      <c r="B53" s="0" t="str">
        <f aca="false">IF('Kas Perusahaan'!A59="","","Kas Perusahaan")</f>
        <v/>
      </c>
      <c r="C53" s="4" t="n">
        <f aca="false">'Kas Perusahaan'!B59</f>
        <v>0</v>
      </c>
      <c r="D53" s="4" t="n">
        <f aca="false">'Kas Perusahaan'!E59</f>
        <v>0</v>
      </c>
      <c r="E53" s="7" t="n">
        <f aca="false">'Kas Perusahaan'!G59</f>
        <v>0</v>
      </c>
      <c r="F53" s="0" t="str">
        <f aca="false">IF(A53="","",A53*1000+ROW())</f>
        <v/>
      </c>
      <c r="G53" s="0" t="str">
        <f aca="false">IF(F53="","",RANK(F53,$F$2:$F$181))</f>
        <v/>
      </c>
    </row>
    <row r="54" customFormat="false" ht="15" hidden="false" customHeight="false" outlineLevel="0" collapsed="false">
      <c r="A54" s="40" t="str">
        <f aca="false">IF('Kas Perusahaan'!A60="","",'Kas Perusahaan'!A60)</f>
        <v/>
      </c>
      <c r="B54" s="0" t="str">
        <f aca="false">IF('Kas Perusahaan'!A60="","","Kas Perusahaan")</f>
        <v/>
      </c>
      <c r="C54" s="4" t="n">
        <f aca="false">'Kas Perusahaan'!B60</f>
        <v>0</v>
      </c>
      <c r="D54" s="4" t="n">
        <f aca="false">'Kas Perusahaan'!E60</f>
        <v>0</v>
      </c>
      <c r="E54" s="7" t="n">
        <f aca="false">'Kas Perusahaan'!G60</f>
        <v>0</v>
      </c>
      <c r="F54" s="0" t="str">
        <f aca="false">IF(A54="","",A54*1000+ROW())</f>
        <v/>
      </c>
      <c r="G54" s="0" t="str">
        <f aca="false">IF(F54="","",RANK(F54,$F$2:$F$181))</f>
        <v/>
      </c>
    </row>
    <row r="55" customFormat="false" ht="15" hidden="false" customHeight="false" outlineLevel="0" collapsed="false">
      <c r="A55" s="40" t="str">
        <f aca="false">IF('Kas Perusahaan'!A61="","",'Kas Perusahaan'!A61)</f>
        <v/>
      </c>
      <c r="B55" s="0" t="str">
        <f aca="false">IF('Kas Perusahaan'!A61="","","Kas Perusahaan")</f>
        <v/>
      </c>
      <c r="C55" s="4" t="n">
        <f aca="false">'Kas Perusahaan'!B61</f>
        <v>0</v>
      </c>
      <c r="D55" s="4" t="n">
        <f aca="false">'Kas Perusahaan'!E61</f>
        <v>0</v>
      </c>
      <c r="E55" s="7" t="n">
        <f aca="false">'Kas Perusahaan'!G61</f>
        <v>0</v>
      </c>
      <c r="F55" s="0" t="str">
        <f aca="false">IF(A55="","",A55*1000+ROW())</f>
        <v/>
      </c>
      <c r="G55" s="0" t="str">
        <f aca="false">IF(F55="","",RANK(F55,$F$2:$F$181))</f>
        <v/>
      </c>
    </row>
    <row r="56" customFormat="false" ht="15" hidden="false" customHeight="false" outlineLevel="0" collapsed="false">
      <c r="A56" s="40" t="str">
        <f aca="false">IF('Kas Perusahaan'!A62="","",'Kas Perusahaan'!A62)</f>
        <v/>
      </c>
      <c r="B56" s="0" t="str">
        <f aca="false">IF('Kas Perusahaan'!A62="","","Kas Perusahaan")</f>
        <v/>
      </c>
      <c r="C56" s="4" t="n">
        <f aca="false">'Kas Perusahaan'!B62</f>
        <v>0</v>
      </c>
      <c r="D56" s="4" t="n">
        <f aca="false">'Kas Perusahaan'!E62</f>
        <v>0</v>
      </c>
      <c r="E56" s="7" t="n">
        <f aca="false">'Kas Perusahaan'!G62</f>
        <v>0</v>
      </c>
      <c r="F56" s="0" t="str">
        <f aca="false">IF(A56="","",A56*1000+ROW())</f>
        <v/>
      </c>
      <c r="G56" s="0" t="str">
        <f aca="false">IF(F56="","",RANK(F56,$F$2:$F$181))</f>
        <v/>
      </c>
    </row>
    <row r="57" customFormat="false" ht="15" hidden="false" customHeight="false" outlineLevel="0" collapsed="false">
      <c r="A57" s="40" t="str">
        <f aca="false">IF('Kas Perusahaan'!A63="","",'Kas Perusahaan'!A63)</f>
        <v/>
      </c>
      <c r="B57" s="0" t="str">
        <f aca="false">IF('Kas Perusahaan'!A63="","","Kas Perusahaan")</f>
        <v/>
      </c>
      <c r="C57" s="4" t="n">
        <f aca="false">'Kas Perusahaan'!B63</f>
        <v>0</v>
      </c>
      <c r="D57" s="4" t="n">
        <f aca="false">'Kas Perusahaan'!E63</f>
        <v>0</v>
      </c>
      <c r="E57" s="7" t="n">
        <f aca="false">'Kas Perusahaan'!G63</f>
        <v>0</v>
      </c>
      <c r="F57" s="0" t="str">
        <f aca="false">IF(A57="","",A57*1000+ROW())</f>
        <v/>
      </c>
      <c r="G57" s="0" t="str">
        <f aca="false">IF(F57="","",RANK(F57,$F$2:$F$181))</f>
        <v/>
      </c>
    </row>
    <row r="58" customFormat="false" ht="15" hidden="false" customHeight="false" outlineLevel="0" collapsed="false">
      <c r="A58" s="40" t="str">
        <f aca="false">IF('Kas Perusahaan'!A64="","",'Kas Perusahaan'!A64)</f>
        <v/>
      </c>
      <c r="B58" s="0" t="str">
        <f aca="false">IF('Kas Perusahaan'!A64="","","Kas Perusahaan")</f>
        <v/>
      </c>
      <c r="C58" s="4" t="n">
        <f aca="false">'Kas Perusahaan'!B64</f>
        <v>0</v>
      </c>
      <c r="D58" s="4" t="n">
        <f aca="false">'Kas Perusahaan'!E64</f>
        <v>0</v>
      </c>
      <c r="E58" s="7" t="n">
        <f aca="false">'Kas Perusahaan'!G64</f>
        <v>0</v>
      </c>
      <c r="F58" s="0" t="str">
        <f aca="false">IF(A58="","",A58*1000+ROW())</f>
        <v/>
      </c>
      <c r="G58" s="0" t="str">
        <f aca="false">IF(F58="","",RANK(F58,$F$2:$F$181))</f>
        <v/>
      </c>
    </row>
    <row r="59" customFormat="false" ht="15" hidden="false" customHeight="false" outlineLevel="0" collapsed="false">
      <c r="A59" s="40" t="str">
        <f aca="false">IF('Kas Perusahaan'!A65="","",'Kas Perusahaan'!A65)</f>
        <v/>
      </c>
      <c r="B59" s="0" t="str">
        <f aca="false">IF('Kas Perusahaan'!A65="","","Kas Perusahaan")</f>
        <v/>
      </c>
      <c r="C59" s="4" t="n">
        <f aca="false">'Kas Perusahaan'!B65</f>
        <v>0</v>
      </c>
      <c r="D59" s="4" t="n">
        <f aca="false">'Kas Perusahaan'!E65</f>
        <v>0</v>
      </c>
      <c r="E59" s="7" t="n">
        <f aca="false">'Kas Perusahaan'!G65</f>
        <v>0</v>
      </c>
      <c r="F59" s="0" t="str">
        <f aca="false">IF(A59="","",A59*1000+ROW())</f>
        <v/>
      </c>
      <c r="G59" s="0" t="str">
        <f aca="false">IF(F59="","",RANK(F59,$F$2:$F$181))</f>
        <v/>
      </c>
    </row>
    <row r="60" customFormat="false" ht="15" hidden="false" customHeight="false" outlineLevel="0" collapsed="false">
      <c r="A60" s="40" t="str">
        <f aca="false">IF('Kas Perusahaan'!A66="","",'Kas Perusahaan'!A66)</f>
        <v/>
      </c>
      <c r="B60" s="0" t="str">
        <f aca="false">IF('Kas Perusahaan'!A66="","","Kas Perusahaan")</f>
        <v/>
      </c>
      <c r="C60" s="4" t="n">
        <f aca="false">'Kas Perusahaan'!B66</f>
        <v>0</v>
      </c>
      <c r="D60" s="4" t="n">
        <f aca="false">'Kas Perusahaan'!E66</f>
        <v>0</v>
      </c>
      <c r="E60" s="7" t="n">
        <f aca="false">'Kas Perusahaan'!G66</f>
        <v>0</v>
      </c>
      <c r="F60" s="0" t="str">
        <f aca="false">IF(A60="","",A60*1000+ROW())</f>
        <v/>
      </c>
      <c r="G60" s="0" t="str">
        <f aca="false">IF(F60="","",RANK(F60,$F$2:$F$181))</f>
        <v/>
      </c>
    </row>
    <row r="61" customFormat="false" ht="15" hidden="false" customHeight="false" outlineLevel="0" collapsed="false">
      <c r="A61" s="40" t="str">
        <f aca="false">IF('Kas Perusahaan'!A67="","",'Kas Perusahaan'!A67)</f>
        <v/>
      </c>
      <c r="B61" s="0" t="str">
        <f aca="false">IF('Kas Perusahaan'!A67="","","Kas Perusahaan")</f>
        <v/>
      </c>
      <c r="C61" s="4" t="n">
        <f aca="false">'Kas Perusahaan'!B67</f>
        <v>0</v>
      </c>
      <c r="D61" s="4" t="n">
        <f aca="false">'Kas Perusahaan'!E67</f>
        <v>0</v>
      </c>
      <c r="E61" s="7" t="n">
        <f aca="false">'Kas Perusahaan'!G67</f>
        <v>0</v>
      </c>
      <c r="F61" s="0" t="str">
        <f aca="false">IF(A61="","",A61*1000+ROW())</f>
        <v/>
      </c>
      <c r="G61" s="0" t="str">
        <f aca="false">IF(F61="","",RANK(F61,$F$2:$F$181))</f>
        <v/>
      </c>
    </row>
    <row r="62" customFormat="false" ht="15" hidden="false" customHeight="false" outlineLevel="0" collapsed="false">
      <c r="A62" s="40" t="str">
        <f aca="false">IF('Kas Perusahaan'!A68="","",'Kas Perusahaan'!A68)</f>
        <v/>
      </c>
      <c r="B62" s="0" t="str">
        <f aca="false">IF('Kas Perusahaan'!A68="","","Kas Perusahaan")</f>
        <v/>
      </c>
      <c r="C62" s="4" t="n">
        <f aca="false">'Kas Perusahaan'!B68</f>
        <v>0</v>
      </c>
      <c r="D62" s="4" t="n">
        <f aca="false">'Kas Perusahaan'!E68</f>
        <v>0</v>
      </c>
      <c r="E62" s="7" t="n">
        <f aca="false">'Kas Perusahaan'!G68</f>
        <v>0</v>
      </c>
      <c r="F62" s="0" t="str">
        <f aca="false">IF(A62="","",A62*1000+ROW())</f>
        <v/>
      </c>
      <c r="G62" s="0" t="str">
        <f aca="false">IF(F62="","",RANK(F62,$F$2:$F$181))</f>
        <v/>
      </c>
    </row>
    <row r="63" customFormat="false" ht="15" hidden="false" customHeight="false" outlineLevel="0" collapsed="false">
      <c r="A63" s="40" t="str">
        <f aca="false">IF('Kas Perusahaan'!A69="","",'Kas Perusahaan'!A69)</f>
        <v/>
      </c>
      <c r="B63" s="0" t="str">
        <f aca="false">IF('Kas Perusahaan'!A69="","","Kas Perusahaan")</f>
        <v/>
      </c>
      <c r="C63" s="4" t="n">
        <f aca="false">'Kas Perusahaan'!B69</f>
        <v>0</v>
      </c>
      <c r="D63" s="4" t="n">
        <f aca="false">'Kas Perusahaan'!E69</f>
        <v>0</v>
      </c>
      <c r="E63" s="7" t="n">
        <f aca="false">'Kas Perusahaan'!G69</f>
        <v>0</v>
      </c>
      <c r="F63" s="0" t="str">
        <f aca="false">IF(A63="","",A63*1000+ROW())</f>
        <v/>
      </c>
      <c r="G63" s="0" t="str">
        <f aca="false">IF(F63="","",RANK(F63,$F$2:$F$181))</f>
        <v/>
      </c>
    </row>
    <row r="64" customFormat="false" ht="15" hidden="false" customHeight="false" outlineLevel="0" collapsed="false">
      <c r="A64" s="40" t="str">
        <f aca="false">IF('Kas Perusahaan'!A70="","",'Kas Perusahaan'!A70)</f>
        <v/>
      </c>
      <c r="B64" s="0" t="str">
        <f aca="false">IF('Kas Perusahaan'!A70="","","Kas Perusahaan")</f>
        <v/>
      </c>
      <c r="C64" s="4" t="n">
        <f aca="false">'Kas Perusahaan'!B70</f>
        <v>0</v>
      </c>
      <c r="D64" s="4" t="n">
        <f aca="false">'Kas Perusahaan'!E70</f>
        <v>0</v>
      </c>
      <c r="E64" s="7" t="n">
        <f aca="false">'Kas Perusahaan'!G70</f>
        <v>0</v>
      </c>
      <c r="F64" s="0" t="str">
        <f aca="false">IF(A64="","",A64*1000+ROW())</f>
        <v/>
      </c>
      <c r="G64" s="0" t="str">
        <f aca="false">IF(F64="","",RANK(F64,$F$2:$F$181))</f>
        <v/>
      </c>
    </row>
    <row r="65" customFormat="false" ht="15" hidden="false" customHeight="false" outlineLevel="0" collapsed="false">
      <c r="A65" s="40" t="str">
        <f aca="false">IF('Kas Perusahaan'!A71="","",'Kas Perusahaan'!A71)</f>
        <v/>
      </c>
      <c r="B65" s="0" t="str">
        <f aca="false">IF('Kas Perusahaan'!A71="","","Kas Perusahaan")</f>
        <v/>
      </c>
      <c r="C65" s="4" t="n">
        <f aca="false">'Kas Perusahaan'!B71</f>
        <v>0</v>
      </c>
      <c r="D65" s="4" t="n">
        <f aca="false">'Kas Perusahaan'!E71</f>
        <v>0</v>
      </c>
      <c r="E65" s="7" t="n">
        <f aca="false">'Kas Perusahaan'!G71</f>
        <v>0</v>
      </c>
      <c r="F65" s="0" t="str">
        <f aca="false">IF(A65="","",A65*1000+ROW())</f>
        <v/>
      </c>
      <c r="G65" s="0" t="str">
        <f aca="false">IF(F65="","",RANK(F65,$F$2:$F$181))</f>
        <v/>
      </c>
    </row>
    <row r="66" customFormat="false" ht="15" hidden="false" customHeight="false" outlineLevel="0" collapsed="false">
      <c r="A66" s="40" t="str">
        <f aca="false">IF('Kas Perusahaan'!A72="","",'Kas Perusahaan'!A72)</f>
        <v/>
      </c>
      <c r="B66" s="0" t="str">
        <f aca="false">IF('Kas Perusahaan'!A72="","","Kas Perusahaan")</f>
        <v/>
      </c>
      <c r="C66" s="4" t="n">
        <f aca="false">'Kas Perusahaan'!B72</f>
        <v>0</v>
      </c>
      <c r="D66" s="4" t="n">
        <f aca="false">'Kas Perusahaan'!E72</f>
        <v>0</v>
      </c>
      <c r="E66" s="7" t="n">
        <f aca="false">'Kas Perusahaan'!G72</f>
        <v>0</v>
      </c>
      <c r="F66" s="0" t="str">
        <f aca="false">IF(A66="","",A66*1000+ROW())</f>
        <v/>
      </c>
      <c r="G66" s="0" t="str">
        <f aca="false">IF(F66="","",RANK(F66,$F$2:$F$181))</f>
        <v/>
      </c>
    </row>
    <row r="67" customFormat="false" ht="15" hidden="false" customHeight="false" outlineLevel="0" collapsed="false">
      <c r="A67" s="40" t="str">
        <f aca="false">IF('Kas Perusahaan'!A73="","",'Kas Perusahaan'!A73)</f>
        <v/>
      </c>
      <c r="B67" s="0" t="str">
        <f aca="false">IF('Kas Perusahaan'!A73="","","Kas Perusahaan")</f>
        <v/>
      </c>
      <c r="C67" s="4" t="n">
        <f aca="false">'Kas Perusahaan'!B73</f>
        <v>0</v>
      </c>
      <c r="D67" s="4" t="n">
        <f aca="false">'Kas Perusahaan'!E73</f>
        <v>0</v>
      </c>
      <c r="E67" s="7" t="n">
        <f aca="false">'Kas Perusahaan'!G73</f>
        <v>0</v>
      </c>
      <c r="F67" s="0" t="str">
        <f aca="false">IF(A67="","",A67*1000+ROW())</f>
        <v/>
      </c>
      <c r="G67" s="0" t="str">
        <f aca="false">IF(F67="","",RANK(F67,$F$2:$F$181))</f>
        <v/>
      </c>
    </row>
    <row r="68" customFormat="false" ht="15" hidden="false" customHeight="false" outlineLevel="0" collapsed="false">
      <c r="A68" s="40" t="str">
        <f aca="false">IF('Kas Perusahaan'!A74="","",'Kas Perusahaan'!A74)</f>
        <v/>
      </c>
      <c r="B68" s="0" t="str">
        <f aca="false">IF('Kas Perusahaan'!A74="","","Kas Perusahaan")</f>
        <v/>
      </c>
      <c r="C68" s="4" t="n">
        <f aca="false">'Kas Perusahaan'!B74</f>
        <v>0</v>
      </c>
      <c r="D68" s="4" t="n">
        <f aca="false">'Kas Perusahaan'!E74</f>
        <v>0</v>
      </c>
      <c r="E68" s="7" t="n">
        <f aca="false">'Kas Perusahaan'!G74</f>
        <v>0</v>
      </c>
      <c r="F68" s="0" t="str">
        <f aca="false">IF(A68="","",A68*1000+ROW())</f>
        <v/>
      </c>
      <c r="G68" s="0" t="str">
        <f aca="false">IF(F68="","",RANK(F68,$F$2:$F$181))</f>
        <v/>
      </c>
    </row>
    <row r="69" customFormat="false" ht="15" hidden="false" customHeight="false" outlineLevel="0" collapsed="false">
      <c r="A69" s="40" t="str">
        <f aca="false">IF('Kas Perusahaan'!A75="","",'Kas Perusahaan'!A75)</f>
        <v/>
      </c>
      <c r="B69" s="0" t="str">
        <f aca="false">IF('Kas Perusahaan'!A75="","","Kas Perusahaan")</f>
        <v/>
      </c>
      <c r="C69" s="4" t="n">
        <f aca="false">'Kas Perusahaan'!B75</f>
        <v>0</v>
      </c>
      <c r="D69" s="4" t="n">
        <f aca="false">'Kas Perusahaan'!E75</f>
        <v>0</v>
      </c>
      <c r="E69" s="7" t="n">
        <f aca="false">'Kas Perusahaan'!G75</f>
        <v>0</v>
      </c>
      <c r="F69" s="0" t="str">
        <f aca="false">IF(A69="","",A69*1000+ROW())</f>
        <v/>
      </c>
      <c r="G69" s="0" t="str">
        <f aca="false">IF(F69="","",RANK(F69,$F$2:$F$181))</f>
        <v/>
      </c>
    </row>
    <row r="70" customFormat="false" ht="15" hidden="false" customHeight="false" outlineLevel="0" collapsed="false">
      <c r="A70" s="40" t="str">
        <f aca="false">IF('Kas Perusahaan'!A76="","",'Kas Perusahaan'!A76)</f>
        <v/>
      </c>
      <c r="B70" s="0" t="str">
        <f aca="false">IF('Kas Perusahaan'!A76="","","Kas Perusahaan")</f>
        <v/>
      </c>
      <c r="C70" s="4" t="n">
        <f aca="false">'Kas Perusahaan'!B76</f>
        <v>0</v>
      </c>
      <c r="D70" s="4" t="n">
        <f aca="false">'Kas Perusahaan'!E76</f>
        <v>0</v>
      </c>
      <c r="E70" s="7" t="n">
        <f aca="false">'Kas Perusahaan'!G76</f>
        <v>0</v>
      </c>
      <c r="F70" s="0" t="str">
        <f aca="false">IF(A70="","",A70*1000+ROW())</f>
        <v/>
      </c>
      <c r="G70" s="0" t="str">
        <f aca="false">IF(F70="","",RANK(F70,$F$2:$F$181))</f>
        <v/>
      </c>
    </row>
    <row r="71" customFormat="false" ht="15" hidden="false" customHeight="false" outlineLevel="0" collapsed="false">
      <c r="A71" s="40" t="str">
        <f aca="false">IF('Kas Perusahaan'!A77="","",'Kas Perusahaan'!A77)</f>
        <v/>
      </c>
      <c r="B71" s="0" t="str">
        <f aca="false">IF('Kas Perusahaan'!A77="","","Kas Perusahaan")</f>
        <v/>
      </c>
      <c r="C71" s="4" t="n">
        <f aca="false">'Kas Perusahaan'!B77</f>
        <v>0</v>
      </c>
      <c r="D71" s="4" t="n">
        <f aca="false">'Kas Perusahaan'!E77</f>
        <v>0</v>
      </c>
      <c r="E71" s="7" t="n">
        <f aca="false">'Kas Perusahaan'!G77</f>
        <v>0</v>
      </c>
      <c r="F71" s="0" t="str">
        <f aca="false">IF(A71="","",A71*1000+ROW())</f>
        <v/>
      </c>
      <c r="G71" s="0" t="str">
        <f aca="false">IF(F71="","",RANK(F71,$F$2:$F$181))</f>
        <v/>
      </c>
    </row>
    <row r="72" customFormat="false" ht="15" hidden="false" customHeight="false" outlineLevel="0" collapsed="false">
      <c r="A72" s="40" t="str">
        <f aca="false">IF('Kas Perusahaan'!A78="","",'Kas Perusahaan'!A78)</f>
        <v/>
      </c>
      <c r="B72" s="0" t="str">
        <f aca="false">IF('Kas Perusahaan'!A78="","","Kas Perusahaan")</f>
        <v/>
      </c>
      <c r="C72" s="4" t="n">
        <f aca="false">'Kas Perusahaan'!B78</f>
        <v>0</v>
      </c>
      <c r="D72" s="4" t="n">
        <f aca="false">'Kas Perusahaan'!E78</f>
        <v>0</v>
      </c>
      <c r="E72" s="7" t="n">
        <f aca="false">'Kas Perusahaan'!G78</f>
        <v>0</v>
      </c>
      <c r="F72" s="0" t="str">
        <f aca="false">IF(A72="","",A72*1000+ROW())</f>
        <v/>
      </c>
      <c r="G72" s="0" t="str">
        <f aca="false">IF(F72="","",RANK(F72,$F$2:$F$181))</f>
        <v/>
      </c>
    </row>
    <row r="73" customFormat="false" ht="15" hidden="false" customHeight="false" outlineLevel="0" collapsed="false">
      <c r="A73" s="40" t="str">
        <f aca="false">IF('Kas Perusahaan'!A79="","",'Kas Perusahaan'!A79)</f>
        <v/>
      </c>
      <c r="B73" s="0" t="str">
        <f aca="false">IF('Kas Perusahaan'!A79="","","Kas Perusahaan")</f>
        <v/>
      </c>
      <c r="C73" s="4" t="n">
        <f aca="false">'Kas Perusahaan'!B79</f>
        <v>0</v>
      </c>
      <c r="D73" s="4" t="n">
        <f aca="false">'Kas Perusahaan'!E79</f>
        <v>0</v>
      </c>
      <c r="E73" s="7" t="n">
        <f aca="false">'Kas Perusahaan'!G79</f>
        <v>0</v>
      </c>
      <c r="F73" s="0" t="str">
        <f aca="false">IF(A73="","",A73*1000+ROW())</f>
        <v/>
      </c>
      <c r="G73" s="0" t="str">
        <f aca="false">IF(F73="","",RANK(F73,$F$2:$F$181))</f>
        <v/>
      </c>
    </row>
    <row r="74" customFormat="false" ht="15" hidden="false" customHeight="false" outlineLevel="0" collapsed="false">
      <c r="A74" s="40" t="str">
        <f aca="false">IF('Kas Perusahaan'!A80="","",'Kas Perusahaan'!A80)</f>
        <v/>
      </c>
      <c r="B74" s="0" t="str">
        <f aca="false">IF('Kas Perusahaan'!A80="","","Kas Perusahaan")</f>
        <v/>
      </c>
      <c r="C74" s="4" t="n">
        <f aca="false">'Kas Perusahaan'!B80</f>
        <v>0</v>
      </c>
      <c r="D74" s="4" t="n">
        <f aca="false">'Kas Perusahaan'!E80</f>
        <v>0</v>
      </c>
      <c r="E74" s="7" t="n">
        <f aca="false">'Kas Perusahaan'!G80</f>
        <v>0</v>
      </c>
      <c r="F74" s="0" t="str">
        <f aca="false">IF(A74="","",A74*1000+ROW())</f>
        <v/>
      </c>
      <c r="G74" s="0" t="str">
        <f aca="false">IF(F74="","",RANK(F74,$F$2:$F$181))</f>
        <v/>
      </c>
    </row>
    <row r="75" customFormat="false" ht="15" hidden="false" customHeight="false" outlineLevel="0" collapsed="false">
      <c r="A75" s="40" t="str">
        <f aca="false">IF('Kas Perusahaan'!A81="","",'Kas Perusahaan'!A81)</f>
        <v/>
      </c>
      <c r="B75" s="0" t="str">
        <f aca="false">IF('Kas Perusahaan'!A81="","","Kas Perusahaan")</f>
        <v/>
      </c>
      <c r="C75" s="4" t="n">
        <f aca="false">'Kas Perusahaan'!B81</f>
        <v>0</v>
      </c>
      <c r="D75" s="4" t="n">
        <f aca="false">'Kas Perusahaan'!E81</f>
        <v>0</v>
      </c>
      <c r="E75" s="7" t="n">
        <f aca="false">'Kas Perusahaan'!G81</f>
        <v>0</v>
      </c>
      <c r="F75" s="0" t="str">
        <f aca="false">IF(A75="","",A75*1000+ROW())</f>
        <v/>
      </c>
      <c r="G75" s="0" t="str">
        <f aca="false">IF(F75="","",RANK(F75,$F$2:$F$181))</f>
        <v/>
      </c>
    </row>
    <row r="76" customFormat="false" ht="15" hidden="false" customHeight="false" outlineLevel="0" collapsed="false">
      <c r="A76" s="40" t="str">
        <f aca="false">IF('Kas Perusahaan'!A82="","",'Kas Perusahaan'!A82)</f>
        <v/>
      </c>
      <c r="B76" s="0" t="str">
        <f aca="false">IF('Kas Perusahaan'!A82="","","Kas Perusahaan")</f>
        <v/>
      </c>
      <c r="C76" s="4" t="n">
        <f aca="false">'Kas Perusahaan'!B82</f>
        <v>0</v>
      </c>
      <c r="D76" s="4" t="n">
        <f aca="false">'Kas Perusahaan'!E82</f>
        <v>0</v>
      </c>
      <c r="E76" s="7" t="n">
        <f aca="false">'Kas Perusahaan'!G82</f>
        <v>0</v>
      </c>
      <c r="F76" s="0" t="str">
        <f aca="false">IF(A76="","",A76*1000+ROW())</f>
        <v/>
      </c>
      <c r="G76" s="0" t="str">
        <f aca="false">IF(F76="","",RANK(F76,$F$2:$F$181))</f>
        <v/>
      </c>
    </row>
    <row r="77" customFormat="false" ht="15" hidden="false" customHeight="false" outlineLevel="0" collapsed="false">
      <c r="A77" s="40" t="str">
        <f aca="false">IF('Kas Perusahaan'!A83="","",'Kas Perusahaan'!A83)</f>
        <v/>
      </c>
      <c r="B77" s="0" t="str">
        <f aca="false">IF('Kas Perusahaan'!A83="","","Kas Perusahaan")</f>
        <v/>
      </c>
      <c r="C77" s="4" t="n">
        <f aca="false">'Kas Perusahaan'!B83</f>
        <v>0</v>
      </c>
      <c r="D77" s="4" t="n">
        <f aca="false">'Kas Perusahaan'!E83</f>
        <v>0</v>
      </c>
      <c r="E77" s="7" t="n">
        <f aca="false">'Kas Perusahaan'!G83</f>
        <v>0</v>
      </c>
      <c r="F77" s="0" t="str">
        <f aca="false">IF(A77="","",A77*1000+ROW())</f>
        <v/>
      </c>
      <c r="G77" s="0" t="str">
        <f aca="false">IF(F77="","",RANK(F77,$F$2:$F$181))</f>
        <v/>
      </c>
    </row>
    <row r="78" customFormat="false" ht="15" hidden="false" customHeight="false" outlineLevel="0" collapsed="false">
      <c r="A78" s="40" t="str">
        <f aca="false">IF('Kas Perusahaan'!A84="","",'Kas Perusahaan'!A84)</f>
        <v/>
      </c>
      <c r="B78" s="0" t="str">
        <f aca="false">IF('Kas Perusahaan'!A84="","","Kas Perusahaan")</f>
        <v/>
      </c>
      <c r="C78" s="4" t="n">
        <f aca="false">'Kas Perusahaan'!B84</f>
        <v>0</v>
      </c>
      <c r="D78" s="4" t="n">
        <f aca="false">'Kas Perusahaan'!E84</f>
        <v>0</v>
      </c>
      <c r="E78" s="7" t="n">
        <f aca="false">'Kas Perusahaan'!G84</f>
        <v>0</v>
      </c>
      <c r="F78" s="0" t="str">
        <f aca="false">IF(A78="","",A78*1000+ROW())</f>
        <v/>
      </c>
      <c r="G78" s="0" t="str">
        <f aca="false">IF(F78="","",RANK(F78,$F$2:$F$181))</f>
        <v/>
      </c>
    </row>
    <row r="79" customFormat="false" ht="15" hidden="false" customHeight="false" outlineLevel="0" collapsed="false">
      <c r="A79" s="40" t="str">
        <f aca="false">IF('Kas Perusahaan'!A85="","",'Kas Perusahaan'!A85)</f>
        <v/>
      </c>
      <c r="B79" s="0" t="str">
        <f aca="false">IF('Kas Perusahaan'!A85="","","Kas Perusahaan")</f>
        <v/>
      </c>
      <c r="C79" s="4" t="n">
        <f aca="false">'Kas Perusahaan'!B85</f>
        <v>0</v>
      </c>
      <c r="D79" s="4" t="n">
        <f aca="false">'Kas Perusahaan'!E85</f>
        <v>0</v>
      </c>
      <c r="E79" s="7" t="n">
        <f aca="false">'Kas Perusahaan'!G85</f>
        <v>0</v>
      </c>
      <c r="F79" s="0" t="str">
        <f aca="false">IF(A79="","",A79*1000+ROW())</f>
        <v/>
      </c>
      <c r="G79" s="0" t="str">
        <f aca="false">IF(F79="","",RANK(F79,$F$2:$F$181))</f>
        <v/>
      </c>
    </row>
    <row r="80" customFormat="false" ht="15" hidden="false" customHeight="false" outlineLevel="0" collapsed="false">
      <c r="A80" s="40" t="str">
        <f aca="false">IF('Kas Perusahaan'!A86="","",'Kas Perusahaan'!A86)</f>
        <v/>
      </c>
      <c r="B80" s="0" t="str">
        <f aca="false">IF('Kas Perusahaan'!A86="","","Kas Perusahaan")</f>
        <v/>
      </c>
      <c r="C80" s="4" t="n">
        <f aca="false">'Kas Perusahaan'!B86</f>
        <v>0</v>
      </c>
      <c r="D80" s="4" t="n">
        <f aca="false">'Kas Perusahaan'!E86</f>
        <v>0</v>
      </c>
      <c r="E80" s="7" t="n">
        <f aca="false">'Kas Perusahaan'!G86</f>
        <v>0</v>
      </c>
      <c r="F80" s="0" t="str">
        <f aca="false">IF(A80="","",A80*1000+ROW())</f>
        <v/>
      </c>
      <c r="G80" s="0" t="str">
        <f aca="false">IF(F80="","",RANK(F80,$F$2:$F$181))</f>
        <v/>
      </c>
    </row>
    <row r="81" customFormat="false" ht="15" hidden="false" customHeight="false" outlineLevel="0" collapsed="false">
      <c r="A81" s="40" t="str">
        <f aca="false">IF('Kas Perusahaan'!A87="","",'Kas Perusahaan'!A87)</f>
        <v/>
      </c>
      <c r="B81" s="0" t="str">
        <f aca="false">IF('Kas Perusahaan'!A87="","","Kas Perusahaan")</f>
        <v/>
      </c>
      <c r="C81" s="4" t="n">
        <f aca="false">'Kas Perusahaan'!B87</f>
        <v>0</v>
      </c>
      <c r="D81" s="4" t="n">
        <f aca="false">'Kas Perusahaan'!E87</f>
        <v>0</v>
      </c>
      <c r="E81" s="7" t="n">
        <f aca="false">'Kas Perusahaan'!G87</f>
        <v>0</v>
      </c>
      <c r="F81" s="0" t="str">
        <f aca="false">IF(A81="","",A81*1000+ROW())</f>
        <v/>
      </c>
      <c r="G81" s="0" t="str">
        <f aca="false">IF(F81="","",RANK(F81,$F$2:$F$181))</f>
        <v/>
      </c>
    </row>
    <row r="82" customFormat="false" ht="15" hidden="false" customHeight="false" outlineLevel="0" collapsed="false">
      <c r="A82" s="40" t="str">
        <f aca="false">IF('Kas Perusahaan'!A88="","",'Kas Perusahaan'!A88)</f>
        <v/>
      </c>
      <c r="B82" s="0" t="str">
        <f aca="false">IF('Kas Perusahaan'!A88="","","Kas Perusahaan")</f>
        <v/>
      </c>
      <c r="C82" s="4" t="n">
        <f aca="false">'Kas Perusahaan'!B88</f>
        <v>0</v>
      </c>
      <c r="D82" s="4" t="n">
        <f aca="false">'Kas Perusahaan'!E88</f>
        <v>0</v>
      </c>
      <c r="E82" s="7" t="n">
        <f aca="false">'Kas Perusahaan'!G88</f>
        <v>0</v>
      </c>
      <c r="F82" s="0" t="str">
        <f aca="false">IF(A82="","",A82*1000+ROW())</f>
        <v/>
      </c>
      <c r="G82" s="0" t="str">
        <f aca="false">IF(F82="","",RANK(F82,$F$2:$F$181))</f>
        <v/>
      </c>
    </row>
    <row r="83" customFormat="false" ht="15" hidden="false" customHeight="false" outlineLevel="0" collapsed="false">
      <c r="A83" s="40" t="str">
        <f aca="false">IF('Kas Perusahaan'!A89="","",'Kas Perusahaan'!A89)</f>
        <v/>
      </c>
      <c r="B83" s="0" t="str">
        <f aca="false">IF('Kas Perusahaan'!A89="","","Kas Perusahaan")</f>
        <v/>
      </c>
      <c r="C83" s="4" t="n">
        <f aca="false">'Kas Perusahaan'!B89</f>
        <v>0</v>
      </c>
      <c r="D83" s="4" t="n">
        <f aca="false">'Kas Perusahaan'!E89</f>
        <v>0</v>
      </c>
      <c r="E83" s="7" t="n">
        <f aca="false">'Kas Perusahaan'!G89</f>
        <v>0</v>
      </c>
      <c r="F83" s="0" t="str">
        <f aca="false">IF(A83="","",A83*1000+ROW())</f>
        <v/>
      </c>
      <c r="G83" s="0" t="str">
        <f aca="false">IF(F83="","",RANK(F83,$F$2:$F$181))</f>
        <v/>
      </c>
    </row>
    <row r="84" customFormat="false" ht="15" hidden="false" customHeight="false" outlineLevel="0" collapsed="false">
      <c r="A84" s="40" t="str">
        <f aca="false">IF('Kas Perusahaan'!A90="","",'Kas Perusahaan'!A90)</f>
        <v/>
      </c>
      <c r="B84" s="0" t="str">
        <f aca="false">IF('Kas Perusahaan'!A90="","","Kas Perusahaan")</f>
        <v/>
      </c>
      <c r="C84" s="4" t="n">
        <f aca="false">'Kas Perusahaan'!B90</f>
        <v>0</v>
      </c>
      <c r="D84" s="4" t="n">
        <f aca="false">'Kas Perusahaan'!E90</f>
        <v>0</v>
      </c>
      <c r="E84" s="7" t="n">
        <f aca="false">'Kas Perusahaan'!G90</f>
        <v>0</v>
      </c>
      <c r="F84" s="0" t="str">
        <f aca="false">IF(A84="","",A84*1000+ROW())</f>
        <v/>
      </c>
      <c r="G84" s="0" t="str">
        <f aca="false">IF(F84="","",RANK(F84,$F$2:$F$181))</f>
        <v/>
      </c>
    </row>
    <row r="85" customFormat="false" ht="15" hidden="false" customHeight="false" outlineLevel="0" collapsed="false">
      <c r="A85" s="40" t="str">
        <f aca="false">IF('Kas Perusahaan'!A91="","",'Kas Perusahaan'!A91)</f>
        <v/>
      </c>
      <c r="B85" s="0" t="str">
        <f aca="false">IF('Kas Perusahaan'!A91="","","Kas Perusahaan")</f>
        <v/>
      </c>
      <c r="C85" s="4" t="n">
        <f aca="false">'Kas Perusahaan'!B91</f>
        <v>0</v>
      </c>
      <c r="D85" s="4" t="n">
        <f aca="false">'Kas Perusahaan'!E91</f>
        <v>0</v>
      </c>
      <c r="E85" s="7" t="n">
        <f aca="false">'Kas Perusahaan'!G91</f>
        <v>0</v>
      </c>
      <c r="F85" s="0" t="str">
        <f aca="false">IF(A85="","",A85*1000+ROW())</f>
        <v/>
      </c>
      <c r="G85" s="0" t="str">
        <f aca="false">IF(F85="","",RANK(F85,$F$2:$F$181))</f>
        <v/>
      </c>
    </row>
    <row r="86" customFormat="false" ht="15" hidden="false" customHeight="false" outlineLevel="0" collapsed="false">
      <c r="A86" s="40" t="str">
        <f aca="false">IF('Kas Perusahaan'!A92="","",'Kas Perusahaan'!A92)</f>
        <v/>
      </c>
      <c r="B86" s="0" t="str">
        <f aca="false">IF('Kas Perusahaan'!A92="","","Kas Perusahaan")</f>
        <v/>
      </c>
      <c r="C86" s="4" t="n">
        <f aca="false">'Kas Perusahaan'!B92</f>
        <v>0</v>
      </c>
      <c r="D86" s="4" t="n">
        <f aca="false">'Kas Perusahaan'!E92</f>
        <v>0</v>
      </c>
      <c r="E86" s="7" t="n">
        <f aca="false">'Kas Perusahaan'!G92</f>
        <v>0</v>
      </c>
      <c r="F86" s="0" t="str">
        <f aca="false">IF(A86="","",A86*1000+ROW())</f>
        <v/>
      </c>
      <c r="G86" s="0" t="str">
        <f aca="false">IF(F86="","",RANK(F86,$F$2:$F$181))</f>
        <v/>
      </c>
    </row>
    <row r="87" customFormat="false" ht="15" hidden="false" customHeight="false" outlineLevel="0" collapsed="false">
      <c r="A87" s="40" t="str">
        <f aca="false">IF('Kas Perusahaan'!A93="","",'Kas Perusahaan'!A93)</f>
        <v/>
      </c>
      <c r="B87" s="0" t="str">
        <f aca="false">IF('Kas Perusahaan'!A93="","","Kas Perusahaan")</f>
        <v/>
      </c>
      <c r="C87" s="4" t="n">
        <f aca="false">'Kas Perusahaan'!B93</f>
        <v>0</v>
      </c>
      <c r="D87" s="4" t="n">
        <f aca="false">'Kas Perusahaan'!E93</f>
        <v>0</v>
      </c>
      <c r="E87" s="7" t="n">
        <f aca="false">'Kas Perusahaan'!G93</f>
        <v>0</v>
      </c>
      <c r="F87" s="0" t="str">
        <f aca="false">IF(A87="","",A87*1000+ROW())</f>
        <v/>
      </c>
      <c r="G87" s="0" t="str">
        <f aca="false">IF(F87="","",RANK(F87,$F$2:$F$181))</f>
        <v/>
      </c>
    </row>
    <row r="88" customFormat="false" ht="15" hidden="false" customHeight="false" outlineLevel="0" collapsed="false">
      <c r="A88" s="40" t="str">
        <f aca="false">IF('Kas Perusahaan'!A94="","",'Kas Perusahaan'!A94)</f>
        <v/>
      </c>
      <c r="B88" s="0" t="str">
        <f aca="false">IF('Kas Perusahaan'!A94="","","Kas Perusahaan")</f>
        <v/>
      </c>
      <c r="C88" s="4" t="n">
        <f aca="false">'Kas Perusahaan'!B94</f>
        <v>0</v>
      </c>
      <c r="D88" s="4" t="n">
        <f aca="false">'Kas Perusahaan'!E94</f>
        <v>0</v>
      </c>
      <c r="E88" s="7" t="n">
        <f aca="false">'Kas Perusahaan'!G94</f>
        <v>0</v>
      </c>
      <c r="F88" s="0" t="str">
        <f aca="false">IF(A88="","",A88*1000+ROW())</f>
        <v/>
      </c>
      <c r="G88" s="0" t="str">
        <f aca="false">IF(F88="","",RANK(F88,$F$2:$F$181))</f>
        <v/>
      </c>
    </row>
    <row r="89" customFormat="false" ht="15" hidden="false" customHeight="false" outlineLevel="0" collapsed="false">
      <c r="A89" s="40" t="str">
        <f aca="false">IF('Kas Perusahaan'!A95="","",'Kas Perusahaan'!A95)</f>
        <v/>
      </c>
      <c r="B89" s="0" t="str">
        <f aca="false">IF('Kas Perusahaan'!A95="","","Kas Perusahaan")</f>
        <v/>
      </c>
      <c r="C89" s="4" t="n">
        <f aca="false">'Kas Perusahaan'!B95</f>
        <v>0</v>
      </c>
      <c r="D89" s="4" t="n">
        <f aca="false">'Kas Perusahaan'!E95</f>
        <v>0</v>
      </c>
      <c r="E89" s="7" t="n">
        <f aca="false">'Kas Perusahaan'!G95</f>
        <v>0</v>
      </c>
      <c r="F89" s="0" t="str">
        <f aca="false">IF(A89="","",A89*1000+ROW())</f>
        <v/>
      </c>
      <c r="G89" s="0" t="str">
        <f aca="false">IF(F89="","",RANK(F89,$F$2:$F$181))</f>
        <v/>
      </c>
    </row>
    <row r="90" customFormat="false" ht="15" hidden="false" customHeight="false" outlineLevel="0" collapsed="false">
      <c r="A90" s="40" t="str">
        <f aca="false">IF('Kas Perusahaan'!A96="","",'Kas Perusahaan'!A96)</f>
        <v/>
      </c>
      <c r="B90" s="0" t="str">
        <f aca="false">IF('Kas Perusahaan'!A96="","","Kas Perusahaan")</f>
        <v/>
      </c>
      <c r="C90" s="4" t="n">
        <f aca="false">'Kas Perusahaan'!B96</f>
        <v>0</v>
      </c>
      <c r="D90" s="4" t="n">
        <f aca="false">'Kas Perusahaan'!E96</f>
        <v>0</v>
      </c>
      <c r="E90" s="7" t="n">
        <f aca="false">'Kas Perusahaan'!G96</f>
        <v>0</v>
      </c>
      <c r="F90" s="0" t="str">
        <f aca="false">IF(A90="","",A90*1000+ROW())</f>
        <v/>
      </c>
      <c r="G90" s="0" t="str">
        <f aca="false">IF(F90="","",RANK(F90,$F$2:$F$181))</f>
        <v/>
      </c>
    </row>
    <row r="91" customFormat="false" ht="15" hidden="false" customHeight="false" outlineLevel="0" collapsed="false">
      <c r="A91" s="40" t="str">
        <f aca="false">IF('Kas Perusahaan'!A97="","",'Kas Perusahaan'!A97)</f>
        <v/>
      </c>
      <c r="B91" s="0" t="str">
        <f aca="false">IF('Kas Perusahaan'!A97="","","Kas Perusahaan")</f>
        <v/>
      </c>
      <c r="C91" s="4" t="n">
        <f aca="false">'Kas Perusahaan'!B97</f>
        <v>0</v>
      </c>
      <c r="D91" s="4" t="n">
        <f aca="false">'Kas Perusahaan'!E97</f>
        <v>0</v>
      </c>
      <c r="E91" s="7" t="n">
        <f aca="false">'Kas Perusahaan'!G97</f>
        <v>0</v>
      </c>
      <c r="F91" s="0" t="str">
        <f aca="false">IF(A91="","",A91*1000+ROW())</f>
        <v/>
      </c>
      <c r="G91" s="0" t="str">
        <f aca="false">IF(F91="","",RANK(F91,$F$2:$F$181))</f>
        <v/>
      </c>
    </row>
    <row r="92" customFormat="false" ht="15" hidden="false" customHeight="false" outlineLevel="0" collapsed="false">
      <c r="A92" s="40" t="str">
        <f aca="false">IF('Kas Perusahaan'!A98="","",'Kas Perusahaan'!A98)</f>
        <v/>
      </c>
      <c r="B92" s="0" t="str">
        <f aca="false">IF('Kas Perusahaan'!A98="","","Kas Perusahaan")</f>
        <v/>
      </c>
      <c r="C92" s="4" t="n">
        <f aca="false">'Kas Perusahaan'!B98</f>
        <v>0</v>
      </c>
      <c r="D92" s="4" t="n">
        <f aca="false">'Kas Perusahaan'!E98</f>
        <v>0</v>
      </c>
      <c r="E92" s="7" t="n">
        <f aca="false">'Kas Perusahaan'!G98</f>
        <v>0</v>
      </c>
      <c r="F92" s="0" t="str">
        <f aca="false">IF(A92="","",A92*1000+ROW())</f>
        <v/>
      </c>
      <c r="G92" s="0" t="str">
        <f aca="false">IF(F92="","",RANK(F92,$F$2:$F$181))</f>
        <v/>
      </c>
    </row>
    <row r="93" customFormat="false" ht="15" hidden="false" customHeight="false" outlineLevel="0" collapsed="false">
      <c r="A93" s="40" t="str">
        <f aca="false">IF('Kas Perusahaan'!A99="","",'Kas Perusahaan'!A99)</f>
        <v/>
      </c>
      <c r="B93" s="0" t="str">
        <f aca="false">IF('Kas Perusahaan'!A99="","","Kas Perusahaan")</f>
        <v/>
      </c>
      <c r="C93" s="4" t="n">
        <f aca="false">'Kas Perusahaan'!B99</f>
        <v>0</v>
      </c>
      <c r="D93" s="4" t="n">
        <f aca="false">'Kas Perusahaan'!E99</f>
        <v>0</v>
      </c>
      <c r="E93" s="7" t="n">
        <f aca="false">'Kas Perusahaan'!G99</f>
        <v>0</v>
      </c>
      <c r="F93" s="0" t="str">
        <f aca="false">IF(A93="","",A93*1000+ROW())</f>
        <v/>
      </c>
      <c r="G93" s="0" t="str">
        <f aca="false">IF(F93="","",RANK(F93,$F$2:$F$181))</f>
        <v/>
      </c>
    </row>
    <row r="94" customFormat="false" ht="15" hidden="false" customHeight="false" outlineLevel="0" collapsed="false">
      <c r="A94" s="40" t="str">
        <f aca="false">IF('Kas Perusahaan'!A100="","",'Kas Perusahaan'!A100)</f>
        <v/>
      </c>
      <c r="B94" s="0" t="str">
        <f aca="false">IF('Kas Perusahaan'!A100="","","Kas Perusahaan")</f>
        <v/>
      </c>
      <c r="C94" s="4" t="n">
        <f aca="false">'Kas Perusahaan'!B100</f>
        <v>0</v>
      </c>
      <c r="D94" s="4" t="n">
        <f aca="false">'Kas Perusahaan'!E100</f>
        <v>0</v>
      </c>
      <c r="E94" s="7" t="n">
        <f aca="false">'Kas Perusahaan'!G100</f>
        <v>0</v>
      </c>
      <c r="F94" s="0" t="str">
        <f aca="false">IF(A94="","",A94*1000+ROW())</f>
        <v/>
      </c>
      <c r="G94" s="0" t="str">
        <f aca="false">IF(F94="","",RANK(F94,$F$2:$F$181))</f>
        <v/>
      </c>
    </row>
    <row r="95" customFormat="false" ht="15" hidden="false" customHeight="false" outlineLevel="0" collapsed="false">
      <c r="A95" s="40" t="str">
        <f aca="false">IF('Kas Perusahaan'!A101="","",'Kas Perusahaan'!A101)</f>
        <v/>
      </c>
      <c r="B95" s="0" t="str">
        <f aca="false">IF('Kas Perusahaan'!A101="","","Kas Perusahaan")</f>
        <v/>
      </c>
      <c r="C95" s="4" t="n">
        <f aca="false">'Kas Perusahaan'!B101</f>
        <v>0</v>
      </c>
      <c r="D95" s="4" t="n">
        <f aca="false">'Kas Perusahaan'!E101</f>
        <v>0</v>
      </c>
      <c r="E95" s="7" t="n">
        <f aca="false">'Kas Perusahaan'!G101</f>
        <v>0</v>
      </c>
      <c r="F95" s="0" t="str">
        <f aca="false">IF(A95="","",A95*1000+ROW())</f>
        <v/>
      </c>
      <c r="G95" s="0" t="str">
        <f aca="false">IF(F95="","",RANK(F95,$F$2:$F$181))</f>
        <v/>
      </c>
    </row>
    <row r="96" customFormat="false" ht="15" hidden="false" customHeight="false" outlineLevel="0" collapsed="false">
      <c r="A96" s="40" t="str">
        <f aca="false">IF('Kas Perusahaan'!A102="","",'Kas Perusahaan'!A102)</f>
        <v/>
      </c>
      <c r="B96" s="0" t="str">
        <f aca="false">IF('Kas Perusahaan'!A102="","","Kas Perusahaan")</f>
        <v/>
      </c>
      <c r="C96" s="4" t="n">
        <f aca="false">'Kas Perusahaan'!B102</f>
        <v>0</v>
      </c>
      <c r="D96" s="4" t="n">
        <f aca="false">'Kas Perusahaan'!E102</f>
        <v>0</v>
      </c>
      <c r="E96" s="7" t="n">
        <f aca="false">'Kas Perusahaan'!G102</f>
        <v>0</v>
      </c>
      <c r="F96" s="0" t="str">
        <f aca="false">IF(A96="","",A96*1000+ROW())</f>
        <v/>
      </c>
      <c r="G96" s="0" t="str">
        <f aca="false">IF(F96="","",RANK(F96,$F$2:$F$181))</f>
        <v/>
      </c>
    </row>
    <row r="97" customFormat="false" ht="15" hidden="false" customHeight="false" outlineLevel="0" collapsed="false">
      <c r="A97" s="40" t="str">
        <f aca="false">IF('Kas Perusahaan'!A103="","",'Kas Perusahaan'!A103)</f>
        <v/>
      </c>
      <c r="B97" s="0" t="str">
        <f aca="false">IF('Kas Perusahaan'!A103="","","Kas Perusahaan")</f>
        <v/>
      </c>
      <c r="C97" s="4" t="n">
        <f aca="false">'Kas Perusahaan'!B103</f>
        <v>0</v>
      </c>
      <c r="D97" s="4" t="n">
        <f aca="false">'Kas Perusahaan'!E103</f>
        <v>0</v>
      </c>
      <c r="E97" s="7" t="n">
        <f aca="false">'Kas Perusahaan'!G103</f>
        <v>0</v>
      </c>
      <c r="F97" s="0" t="str">
        <f aca="false">IF(A97="","",A97*1000+ROW())</f>
        <v/>
      </c>
      <c r="G97" s="0" t="str">
        <f aca="false">IF(F97="","",RANK(F97,$F$2:$F$181))</f>
        <v/>
      </c>
    </row>
    <row r="98" customFormat="false" ht="15" hidden="false" customHeight="false" outlineLevel="0" collapsed="false">
      <c r="A98" s="40" t="str">
        <f aca="false">IF('Kas Perusahaan'!A104="","",'Kas Perusahaan'!A104)</f>
        <v/>
      </c>
      <c r="B98" s="0" t="str">
        <f aca="false">IF('Kas Perusahaan'!A104="","","Kas Perusahaan")</f>
        <v/>
      </c>
      <c r="C98" s="4" t="n">
        <f aca="false">'Kas Perusahaan'!B104</f>
        <v>0</v>
      </c>
      <c r="D98" s="4" t="n">
        <f aca="false">'Kas Perusahaan'!E104</f>
        <v>0</v>
      </c>
      <c r="E98" s="7" t="n">
        <f aca="false">'Kas Perusahaan'!G104</f>
        <v>0</v>
      </c>
      <c r="F98" s="0" t="str">
        <f aca="false">IF(A98="","",A98*1000+ROW())</f>
        <v/>
      </c>
      <c r="G98" s="0" t="str">
        <f aca="false">IF(F98="","",RANK(F98,$F$2:$F$181))</f>
        <v/>
      </c>
    </row>
    <row r="99" customFormat="false" ht="15" hidden="false" customHeight="false" outlineLevel="0" collapsed="false">
      <c r="A99" s="40" t="str">
        <f aca="false">IF('Kas Perusahaan'!A105="","",'Kas Perusahaan'!A105)</f>
        <v/>
      </c>
      <c r="B99" s="0" t="str">
        <f aca="false">IF('Kas Perusahaan'!A105="","","Kas Perusahaan")</f>
        <v/>
      </c>
      <c r="C99" s="4" t="n">
        <f aca="false">'Kas Perusahaan'!B105</f>
        <v>0</v>
      </c>
      <c r="D99" s="4" t="n">
        <f aca="false">'Kas Perusahaan'!E105</f>
        <v>0</v>
      </c>
      <c r="E99" s="7" t="n">
        <f aca="false">'Kas Perusahaan'!G105</f>
        <v>0</v>
      </c>
      <c r="F99" s="0" t="str">
        <f aca="false">IF(A99="","",A99*1000+ROW())</f>
        <v/>
      </c>
      <c r="G99" s="0" t="str">
        <f aca="false">IF(F99="","",RANK(F99,$F$2:$F$181))</f>
        <v/>
      </c>
    </row>
    <row r="100" customFormat="false" ht="15" hidden="false" customHeight="false" outlineLevel="0" collapsed="false">
      <c r="A100" s="40" t="str">
        <f aca="false">IF('Kas Perusahaan'!A106="","",'Kas Perusahaan'!A106)</f>
        <v/>
      </c>
      <c r="B100" s="0" t="str">
        <f aca="false">IF('Kas Perusahaan'!A106="","","Kas Perusahaan")</f>
        <v/>
      </c>
      <c r="C100" s="4" t="n">
        <f aca="false">'Kas Perusahaan'!B106</f>
        <v>0</v>
      </c>
      <c r="D100" s="4" t="n">
        <f aca="false">'Kas Perusahaan'!E106</f>
        <v>0</v>
      </c>
      <c r="E100" s="7" t="n">
        <f aca="false">'Kas Perusahaan'!G106</f>
        <v>0</v>
      </c>
      <c r="F100" s="0" t="str">
        <f aca="false">IF(A100="","",A100*1000+ROW())</f>
        <v/>
      </c>
      <c r="G100" s="0" t="str">
        <f aca="false">IF(F100="","",RANK(F100,$F$2:$F$181))</f>
        <v/>
      </c>
    </row>
    <row r="101" customFormat="false" ht="15" hidden="false" customHeight="false" outlineLevel="0" collapsed="false">
      <c r="A101" s="40" t="str">
        <f aca="false">IF('Kas Perusahaan'!A107="","",'Kas Perusahaan'!A107)</f>
        <v/>
      </c>
      <c r="B101" s="0" t="str">
        <f aca="false">IF('Kas Perusahaan'!A107="","","Kas Perusahaan")</f>
        <v/>
      </c>
      <c r="C101" s="4" t="n">
        <f aca="false">'Kas Perusahaan'!B107</f>
        <v>0</v>
      </c>
      <c r="D101" s="4" t="n">
        <f aca="false">'Kas Perusahaan'!E107</f>
        <v>0</v>
      </c>
      <c r="E101" s="7" t="n">
        <f aca="false">'Kas Perusahaan'!G107</f>
        <v>0</v>
      </c>
      <c r="F101" s="0" t="str">
        <f aca="false">IF(A101="","",A101*1000+ROW())</f>
        <v/>
      </c>
      <c r="G101" s="0" t="str">
        <f aca="false">IF(F101="","",RANK(F101,$F$2:$F$181))</f>
        <v/>
      </c>
    </row>
    <row r="102" customFormat="false" ht="15" hidden="false" customHeight="false" outlineLevel="0" collapsed="false">
      <c r="A102" s="40" t="str">
        <f aca="false">IF('Kas Perusahaan'!A108="","",'Kas Perusahaan'!A108)</f>
        <v/>
      </c>
      <c r="B102" s="0" t="str">
        <f aca="false">IF('Kas Perusahaan'!A108="","","Kas Perusahaan")</f>
        <v/>
      </c>
      <c r="C102" s="4" t="n">
        <f aca="false">'Kas Perusahaan'!B108</f>
        <v>0</v>
      </c>
      <c r="D102" s="4" t="n">
        <f aca="false">'Kas Perusahaan'!E108</f>
        <v>0</v>
      </c>
      <c r="E102" s="7" t="n">
        <f aca="false">'Kas Perusahaan'!G108</f>
        <v>0</v>
      </c>
      <c r="F102" s="0" t="str">
        <f aca="false">IF(A102="","",A102*1000+ROW())</f>
        <v/>
      </c>
      <c r="G102" s="0" t="str">
        <f aca="false">IF(F102="","",RANK(F102,$F$2:$F$181))</f>
        <v/>
      </c>
    </row>
    <row r="103" customFormat="false" ht="15" hidden="false" customHeight="false" outlineLevel="0" collapsed="false">
      <c r="A103" s="40" t="str">
        <f aca="false">IF('Kas Perusahaan'!A109="","",'Kas Perusahaan'!A109)</f>
        <v/>
      </c>
      <c r="B103" s="0" t="str">
        <f aca="false">IF('Kas Perusahaan'!A109="","","Kas Perusahaan")</f>
        <v/>
      </c>
      <c r="C103" s="4" t="n">
        <f aca="false">'Kas Perusahaan'!B109</f>
        <v>0</v>
      </c>
      <c r="D103" s="4" t="n">
        <f aca="false">'Kas Perusahaan'!E109</f>
        <v>0</v>
      </c>
      <c r="E103" s="7" t="n">
        <f aca="false">'Kas Perusahaan'!G109</f>
        <v>0</v>
      </c>
      <c r="F103" s="0" t="str">
        <f aca="false">IF(A103="","",A103*1000+ROW())</f>
        <v/>
      </c>
      <c r="G103" s="0" t="str">
        <f aca="false">IF(F103="","",RANK(F103,$F$2:$F$181))</f>
        <v/>
      </c>
    </row>
    <row r="104" customFormat="false" ht="15" hidden="false" customHeight="false" outlineLevel="0" collapsed="false">
      <c r="A104" s="40" t="str">
        <f aca="false">IF('Kas Perusahaan'!A110="","",'Kas Perusahaan'!A110)</f>
        <v/>
      </c>
      <c r="B104" s="0" t="str">
        <f aca="false">IF('Kas Perusahaan'!A110="","","Kas Perusahaan")</f>
        <v/>
      </c>
      <c r="C104" s="4" t="n">
        <f aca="false">'Kas Perusahaan'!B110</f>
        <v>0</v>
      </c>
      <c r="D104" s="4" t="n">
        <f aca="false">'Kas Perusahaan'!E110</f>
        <v>0</v>
      </c>
      <c r="E104" s="7" t="n">
        <f aca="false">'Kas Perusahaan'!G110</f>
        <v>0</v>
      </c>
      <c r="F104" s="0" t="str">
        <f aca="false">IF(A104="","",A104*1000+ROW())</f>
        <v/>
      </c>
      <c r="G104" s="0" t="str">
        <f aca="false">IF(F104="","",RANK(F104,$F$2:$F$181))</f>
        <v/>
      </c>
    </row>
    <row r="105" customFormat="false" ht="15" hidden="false" customHeight="false" outlineLevel="0" collapsed="false">
      <c r="A105" s="40" t="str">
        <f aca="false">IF('Kas Perusahaan'!A111="","",'Kas Perusahaan'!A111)</f>
        <v/>
      </c>
      <c r="B105" s="0" t="str">
        <f aca="false">IF('Kas Perusahaan'!A111="","","Kas Perusahaan")</f>
        <v/>
      </c>
      <c r="C105" s="4" t="n">
        <f aca="false">'Kas Perusahaan'!B111</f>
        <v>0</v>
      </c>
      <c r="D105" s="4" t="n">
        <f aca="false">'Kas Perusahaan'!E111</f>
        <v>0</v>
      </c>
      <c r="E105" s="7" t="n">
        <f aca="false">'Kas Perusahaan'!G111</f>
        <v>0</v>
      </c>
      <c r="F105" s="0" t="str">
        <f aca="false">IF(A105="","",A105*1000+ROW())</f>
        <v/>
      </c>
      <c r="G105" s="0" t="str">
        <f aca="false">IF(F105="","",RANK(F105,$F$2:$F$181))</f>
        <v/>
      </c>
    </row>
    <row r="106" customFormat="false" ht="15" hidden="false" customHeight="false" outlineLevel="0" collapsed="false">
      <c r="A106" s="40" t="str">
        <f aca="false">IF('Kas Perusahaan'!A112="","",'Kas Perusahaan'!A112)</f>
        <v/>
      </c>
      <c r="B106" s="0" t="str">
        <f aca="false">IF('Kas Perusahaan'!A112="","","Kas Perusahaan")</f>
        <v/>
      </c>
      <c r="C106" s="4" t="n">
        <f aca="false">'Kas Perusahaan'!B112</f>
        <v>0</v>
      </c>
      <c r="D106" s="4" t="n">
        <f aca="false">'Kas Perusahaan'!E112</f>
        <v>0</v>
      </c>
      <c r="E106" s="7" t="n">
        <f aca="false">'Kas Perusahaan'!G112</f>
        <v>0</v>
      </c>
      <c r="F106" s="0" t="str">
        <f aca="false">IF(A106="","",A106*1000+ROW())</f>
        <v/>
      </c>
      <c r="G106" s="0" t="str">
        <f aca="false">IF(F106="","",RANK(F106,$F$2:$F$181))</f>
        <v/>
      </c>
    </row>
    <row r="107" customFormat="false" ht="15" hidden="false" customHeight="false" outlineLevel="0" collapsed="false">
      <c r="A107" s="40" t="str">
        <f aca="false">IF('Kas Perusahaan'!A113="","",'Kas Perusahaan'!A113)</f>
        <v/>
      </c>
      <c r="B107" s="0" t="str">
        <f aca="false">IF('Kas Perusahaan'!A113="","","Kas Perusahaan")</f>
        <v/>
      </c>
      <c r="C107" s="4" t="n">
        <f aca="false">'Kas Perusahaan'!B113</f>
        <v>0</v>
      </c>
      <c r="D107" s="4" t="n">
        <f aca="false">'Kas Perusahaan'!E113</f>
        <v>0</v>
      </c>
      <c r="E107" s="7" t="n">
        <f aca="false">'Kas Perusahaan'!G113</f>
        <v>0</v>
      </c>
      <c r="F107" s="0" t="str">
        <f aca="false">IF(A107="","",A107*1000+ROW())</f>
        <v/>
      </c>
      <c r="G107" s="0" t="str">
        <f aca="false">IF(F107="","",RANK(F107,$F$2:$F$181))</f>
        <v/>
      </c>
    </row>
    <row r="108" customFormat="false" ht="15" hidden="false" customHeight="false" outlineLevel="0" collapsed="false">
      <c r="A108" s="40" t="str">
        <f aca="false">IF('Kas Perusahaan'!A114="","",'Kas Perusahaan'!A114)</f>
        <v/>
      </c>
      <c r="B108" s="0" t="str">
        <f aca="false">IF('Kas Perusahaan'!A114="","","Kas Perusahaan")</f>
        <v/>
      </c>
      <c r="C108" s="4" t="n">
        <f aca="false">'Kas Perusahaan'!B114</f>
        <v>0</v>
      </c>
      <c r="D108" s="4" t="n">
        <f aca="false">'Kas Perusahaan'!E114</f>
        <v>0</v>
      </c>
      <c r="E108" s="7" t="n">
        <f aca="false">'Kas Perusahaan'!G114</f>
        <v>0</v>
      </c>
      <c r="F108" s="0" t="str">
        <f aca="false">IF(A108="","",A108*1000+ROW())</f>
        <v/>
      </c>
      <c r="G108" s="0" t="str">
        <f aca="false">IF(F108="","",RANK(F108,$F$2:$F$181))</f>
        <v/>
      </c>
    </row>
    <row r="109" customFormat="false" ht="15" hidden="false" customHeight="false" outlineLevel="0" collapsed="false">
      <c r="A109" s="40" t="str">
        <f aca="false">IF('Kas Perusahaan'!A115="","",'Kas Perusahaan'!A115)</f>
        <v/>
      </c>
      <c r="B109" s="0" t="str">
        <f aca="false">IF('Kas Perusahaan'!A115="","","Kas Perusahaan")</f>
        <v/>
      </c>
      <c r="C109" s="4" t="n">
        <f aca="false">'Kas Perusahaan'!B115</f>
        <v>0</v>
      </c>
      <c r="D109" s="4" t="n">
        <f aca="false">'Kas Perusahaan'!E115</f>
        <v>0</v>
      </c>
      <c r="E109" s="7" t="n">
        <f aca="false">'Kas Perusahaan'!G115</f>
        <v>0</v>
      </c>
      <c r="F109" s="0" t="str">
        <f aca="false">IF(A109="","",A109*1000+ROW())</f>
        <v/>
      </c>
      <c r="G109" s="0" t="str">
        <f aca="false">IF(F109="","",RANK(F109,$F$2:$F$181))</f>
        <v/>
      </c>
    </row>
    <row r="110" customFormat="false" ht="15" hidden="false" customHeight="false" outlineLevel="0" collapsed="false">
      <c r="A110" s="40" t="str">
        <f aca="false">IF('Kas Perusahaan'!A116="","",'Kas Perusahaan'!A116)</f>
        <v/>
      </c>
      <c r="B110" s="0" t="str">
        <f aca="false">IF('Kas Perusahaan'!A116="","","Kas Perusahaan")</f>
        <v/>
      </c>
      <c r="C110" s="4" t="n">
        <f aca="false">'Kas Perusahaan'!B116</f>
        <v>0</v>
      </c>
      <c r="D110" s="4" t="n">
        <f aca="false">'Kas Perusahaan'!E116</f>
        <v>0</v>
      </c>
      <c r="E110" s="7" t="n">
        <f aca="false">'Kas Perusahaan'!G116</f>
        <v>0</v>
      </c>
      <c r="F110" s="0" t="str">
        <f aca="false">IF(A110="","",A110*1000+ROW())</f>
        <v/>
      </c>
      <c r="G110" s="0" t="str">
        <f aca="false">IF(F110="","",RANK(F110,$F$2:$F$181))</f>
        <v/>
      </c>
    </row>
    <row r="111" customFormat="false" ht="15" hidden="false" customHeight="false" outlineLevel="0" collapsed="false">
      <c r="A111" s="40" t="str">
        <f aca="false">IF('Kas Perusahaan'!A117="","",'Kas Perusahaan'!A117)</f>
        <v/>
      </c>
      <c r="B111" s="0" t="str">
        <f aca="false">IF('Kas Perusahaan'!A117="","","Kas Perusahaan")</f>
        <v/>
      </c>
      <c r="C111" s="4" t="n">
        <f aca="false">'Kas Perusahaan'!B117</f>
        <v>0</v>
      </c>
      <c r="D111" s="4" t="n">
        <f aca="false">'Kas Perusahaan'!E117</f>
        <v>0</v>
      </c>
      <c r="E111" s="7" t="n">
        <f aca="false">'Kas Perusahaan'!G117</f>
        <v>0</v>
      </c>
      <c r="F111" s="0" t="str">
        <f aca="false">IF(A111="","",A111*1000+ROW())</f>
        <v/>
      </c>
      <c r="G111" s="0" t="str">
        <f aca="false">IF(F111="","",RANK(F111,$F$2:$F$181))</f>
        <v/>
      </c>
    </row>
    <row r="112" customFormat="false" ht="15" hidden="false" customHeight="false" outlineLevel="0" collapsed="false">
      <c r="A112" s="40" t="str">
        <f aca="false">IF('Kas Perusahaan'!A118="","",'Kas Perusahaan'!A118)</f>
        <v/>
      </c>
      <c r="B112" s="0" t="str">
        <f aca="false">IF('Kas Perusahaan'!A118="","","Kas Perusahaan")</f>
        <v/>
      </c>
      <c r="C112" s="4" t="n">
        <f aca="false">'Kas Perusahaan'!B118</f>
        <v>0</v>
      </c>
      <c r="D112" s="4" t="n">
        <f aca="false">'Kas Perusahaan'!E118</f>
        <v>0</v>
      </c>
      <c r="E112" s="7" t="n">
        <f aca="false">'Kas Perusahaan'!G118</f>
        <v>0</v>
      </c>
      <c r="F112" s="0" t="str">
        <f aca="false">IF(A112="","",A112*1000+ROW())</f>
        <v/>
      </c>
      <c r="G112" s="0" t="str">
        <f aca="false">IF(F112="","",RANK(F112,$F$2:$F$181))</f>
        <v/>
      </c>
    </row>
    <row r="113" customFormat="false" ht="15" hidden="false" customHeight="false" outlineLevel="0" collapsed="false">
      <c r="A113" s="40" t="str">
        <f aca="false">IF('Kas Perusahaan'!A119="","",'Kas Perusahaan'!A119)</f>
        <v/>
      </c>
      <c r="B113" s="0" t="str">
        <f aca="false">IF('Kas Perusahaan'!A119="","","Kas Perusahaan")</f>
        <v/>
      </c>
      <c r="C113" s="4" t="n">
        <f aca="false">'Kas Perusahaan'!B119</f>
        <v>0</v>
      </c>
      <c r="D113" s="4" t="n">
        <f aca="false">'Kas Perusahaan'!E119</f>
        <v>0</v>
      </c>
      <c r="E113" s="7" t="n">
        <f aca="false">'Kas Perusahaan'!G119</f>
        <v>0</v>
      </c>
      <c r="F113" s="0" t="str">
        <f aca="false">IF(A113="","",A113*1000+ROW())</f>
        <v/>
      </c>
      <c r="G113" s="0" t="str">
        <f aca="false">IF(F113="","",RANK(F113,$F$2:$F$181))</f>
        <v/>
      </c>
    </row>
    <row r="114" customFormat="false" ht="15" hidden="false" customHeight="false" outlineLevel="0" collapsed="false">
      <c r="A114" s="40" t="str">
        <f aca="false">IF('Kas Perusahaan'!A120="","",'Kas Perusahaan'!A120)</f>
        <v/>
      </c>
      <c r="B114" s="0" t="str">
        <f aca="false">IF('Kas Perusahaan'!A120="","","Kas Perusahaan")</f>
        <v/>
      </c>
      <c r="C114" s="4" t="n">
        <f aca="false">'Kas Perusahaan'!B120</f>
        <v>0</v>
      </c>
      <c r="D114" s="4" t="n">
        <f aca="false">'Kas Perusahaan'!E120</f>
        <v>0</v>
      </c>
      <c r="E114" s="7" t="n">
        <f aca="false">'Kas Perusahaan'!G120</f>
        <v>0</v>
      </c>
      <c r="F114" s="0" t="str">
        <f aca="false">IF(A114="","",A114*1000+ROW())</f>
        <v/>
      </c>
      <c r="G114" s="0" t="str">
        <f aca="false">IF(F114="","",RANK(F114,$F$2:$F$181))</f>
        <v/>
      </c>
    </row>
    <row r="115" customFormat="false" ht="15" hidden="false" customHeight="false" outlineLevel="0" collapsed="false">
      <c r="A115" s="40" t="str">
        <f aca="false">IF('Kas Perusahaan'!A121="","",'Kas Perusahaan'!A121)</f>
        <v/>
      </c>
      <c r="B115" s="0" t="str">
        <f aca="false">IF('Kas Perusahaan'!A121="","","Kas Perusahaan")</f>
        <v/>
      </c>
      <c r="C115" s="4" t="n">
        <f aca="false">'Kas Perusahaan'!B121</f>
        <v>0</v>
      </c>
      <c r="D115" s="4" t="n">
        <f aca="false">'Kas Perusahaan'!E121</f>
        <v>0</v>
      </c>
      <c r="E115" s="7" t="n">
        <f aca="false">'Kas Perusahaan'!G121</f>
        <v>0</v>
      </c>
      <c r="F115" s="0" t="str">
        <f aca="false">IF(A115="","",A115*1000+ROW())</f>
        <v/>
      </c>
      <c r="G115" s="0" t="str">
        <f aca="false">IF(F115="","",RANK(F115,$F$2:$F$181))</f>
        <v/>
      </c>
    </row>
    <row r="116" customFormat="false" ht="15" hidden="false" customHeight="false" outlineLevel="0" collapsed="false">
      <c r="A116" s="40" t="str">
        <f aca="false">IF('Kas Perusahaan'!A122="","",'Kas Perusahaan'!A122)</f>
        <v/>
      </c>
      <c r="B116" s="0" t="str">
        <f aca="false">IF('Kas Perusahaan'!A122="","","Kas Perusahaan")</f>
        <v/>
      </c>
      <c r="C116" s="4" t="n">
        <f aca="false">'Kas Perusahaan'!B122</f>
        <v>0</v>
      </c>
      <c r="D116" s="4" t="n">
        <f aca="false">'Kas Perusahaan'!E122</f>
        <v>0</v>
      </c>
      <c r="E116" s="7" t="n">
        <f aca="false">'Kas Perusahaan'!G122</f>
        <v>0</v>
      </c>
      <c r="F116" s="0" t="str">
        <f aca="false">IF(A116="","",A116*1000+ROW())</f>
        <v/>
      </c>
      <c r="G116" s="0" t="str">
        <f aca="false">IF(F116="","",RANK(F116,$F$2:$F$181))</f>
        <v/>
      </c>
    </row>
    <row r="117" customFormat="false" ht="15" hidden="false" customHeight="false" outlineLevel="0" collapsed="false">
      <c r="A117" s="40" t="str">
        <f aca="false">IF('Kas Perusahaan'!A123="","",'Kas Perusahaan'!A123)</f>
        <v/>
      </c>
      <c r="B117" s="0" t="str">
        <f aca="false">IF('Kas Perusahaan'!A123="","","Kas Perusahaan")</f>
        <v/>
      </c>
      <c r="C117" s="4" t="n">
        <f aca="false">'Kas Perusahaan'!B123</f>
        <v>0</v>
      </c>
      <c r="D117" s="4" t="n">
        <f aca="false">'Kas Perusahaan'!E123</f>
        <v>0</v>
      </c>
      <c r="E117" s="7" t="n">
        <f aca="false">'Kas Perusahaan'!G123</f>
        <v>0</v>
      </c>
      <c r="F117" s="0" t="str">
        <f aca="false">IF(A117="","",A117*1000+ROW())</f>
        <v/>
      </c>
      <c r="G117" s="0" t="str">
        <f aca="false">IF(F117="","",RANK(F117,$F$2:$F$181))</f>
        <v/>
      </c>
    </row>
    <row r="118" customFormat="false" ht="15" hidden="false" customHeight="false" outlineLevel="0" collapsed="false">
      <c r="A118" s="40" t="str">
        <f aca="false">IF('Kas Perusahaan'!A124="","",'Kas Perusahaan'!A124)</f>
        <v/>
      </c>
      <c r="B118" s="0" t="str">
        <f aca="false">IF('Kas Perusahaan'!A124="","","Kas Perusahaan")</f>
        <v/>
      </c>
      <c r="C118" s="4" t="n">
        <f aca="false">'Kas Perusahaan'!B124</f>
        <v>0</v>
      </c>
      <c r="D118" s="4" t="n">
        <f aca="false">'Kas Perusahaan'!E124</f>
        <v>0</v>
      </c>
      <c r="E118" s="7" t="n">
        <f aca="false">'Kas Perusahaan'!G124</f>
        <v>0</v>
      </c>
      <c r="F118" s="0" t="str">
        <f aca="false">IF(A118="","",A118*1000+ROW())</f>
        <v/>
      </c>
      <c r="G118" s="0" t="str">
        <f aca="false">IF(F118="","",RANK(F118,$F$2:$F$181))</f>
        <v/>
      </c>
    </row>
    <row r="119" customFormat="false" ht="15" hidden="false" customHeight="false" outlineLevel="0" collapsed="false">
      <c r="A119" s="40" t="str">
        <f aca="false">IF('Kas Perusahaan'!A125="","",'Kas Perusahaan'!A125)</f>
        <v/>
      </c>
      <c r="B119" s="0" t="str">
        <f aca="false">IF('Kas Perusahaan'!A125="","","Kas Perusahaan")</f>
        <v/>
      </c>
      <c r="C119" s="4" t="n">
        <f aca="false">'Kas Perusahaan'!B125</f>
        <v>0</v>
      </c>
      <c r="D119" s="4" t="n">
        <f aca="false">'Kas Perusahaan'!E125</f>
        <v>0</v>
      </c>
      <c r="E119" s="7" t="n">
        <f aca="false">'Kas Perusahaan'!G125</f>
        <v>0</v>
      </c>
      <c r="F119" s="0" t="str">
        <f aca="false">IF(A119="","",A119*1000+ROW())</f>
        <v/>
      </c>
      <c r="G119" s="0" t="str">
        <f aca="false">IF(F119="","",RANK(F119,$F$2:$F$181))</f>
        <v/>
      </c>
    </row>
    <row r="120" customFormat="false" ht="15" hidden="false" customHeight="false" outlineLevel="0" collapsed="false">
      <c r="A120" s="40" t="str">
        <f aca="false">IF('Kas Perusahaan'!A126="","",'Kas Perusahaan'!A126)</f>
        <v/>
      </c>
      <c r="B120" s="0" t="str">
        <f aca="false">IF('Kas Perusahaan'!A126="","","Kas Perusahaan")</f>
        <v/>
      </c>
      <c r="C120" s="4" t="n">
        <f aca="false">'Kas Perusahaan'!B126</f>
        <v>0</v>
      </c>
      <c r="D120" s="4" t="n">
        <f aca="false">'Kas Perusahaan'!E126</f>
        <v>0</v>
      </c>
      <c r="E120" s="7" t="n">
        <f aca="false">'Kas Perusahaan'!G126</f>
        <v>0</v>
      </c>
      <c r="F120" s="0" t="str">
        <f aca="false">IF(A120="","",A120*1000+ROW())</f>
        <v/>
      </c>
      <c r="G120" s="0" t="str">
        <f aca="false">IF(F120="","",RANK(F120,$F$2:$F$181))</f>
        <v/>
      </c>
    </row>
    <row r="121" customFormat="false" ht="15" hidden="false" customHeight="false" outlineLevel="0" collapsed="false">
      <c r="A121" s="40" t="str">
        <f aca="false">IF('Kas Perusahaan'!A127="","",'Kas Perusahaan'!A127)</f>
        <v/>
      </c>
      <c r="B121" s="0" t="str">
        <f aca="false">IF('Kas Perusahaan'!A127="","","Kas Perusahaan")</f>
        <v/>
      </c>
      <c r="C121" s="4" t="n">
        <f aca="false">'Kas Perusahaan'!B127</f>
        <v>0</v>
      </c>
      <c r="D121" s="4" t="n">
        <f aca="false">'Kas Perusahaan'!E127</f>
        <v>0</v>
      </c>
      <c r="E121" s="7" t="n">
        <f aca="false">'Kas Perusahaan'!G127</f>
        <v>0</v>
      </c>
      <c r="F121" s="0" t="str">
        <f aca="false">IF(A121="","",A121*1000+ROW())</f>
        <v/>
      </c>
      <c r="G121" s="0" t="str">
        <f aca="false">IF(F121="","",RANK(F121,$F$2:$F$181))</f>
        <v/>
      </c>
    </row>
    <row r="122" customFormat="false" ht="15" hidden="false" customHeight="false" outlineLevel="0" collapsed="false">
      <c r="A122" s="40" t="n">
        <f aca="false">IF('Kas Pribadi'!A8="","",'Kas Pribadi'!A8)</f>
        <v>46032</v>
      </c>
      <c r="B122" s="0" t="str">
        <f aca="false">IF('Kas Pribadi'!A8="","","Kas Pribadi")</f>
        <v>Kas Pribadi</v>
      </c>
      <c r="C122" s="0" t="str">
        <f aca="false">'Kas Pribadi'!B8</f>
        <v>Ambil gaji/prive bulan Januari</v>
      </c>
      <c r="D122" s="0" t="str">
        <f aca="false">'Kas Pribadi'!E8</f>
        <v>Masuk</v>
      </c>
      <c r="E122" s="7" t="n">
        <f aca="false">'Kas Pribadi'!F8</f>
        <v>6000000</v>
      </c>
      <c r="F122" s="4" t="n">
        <f aca="false">IF(A122="","",A122*1000+ROW())</f>
        <v>46032122</v>
      </c>
      <c r="G122" s="4" t="n">
        <f aca="false">IF(F122="","",RANK(F122,$F$2:$F$181))</f>
        <v>38</v>
      </c>
    </row>
    <row r="123" customFormat="false" ht="15" hidden="false" customHeight="false" outlineLevel="0" collapsed="false">
      <c r="A123" s="40" t="n">
        <f aca="false">IF('Kas Pribadi'!A9="","",'Kas Pribadi'!A9)</f>
        <v>46034</v>
      </c>
      <c r="B123" s="0" t="str">
        <f aca="false">IF('Kas Pribadi'!A9="","","Kas Pribadi")</f>
        <v>Kas Pribadi</v>
      </c>
      <c r="C123" s="0" t="str">
        <f aca="false">'Kas Pribadi'!B9</f>
        <v>Kebutuhan rumah tangga</v>
      </c>
      <c r="D123" s="0" t="str">
        <f aca="false">'Kas Pribadi'!E9</f>
        <v>Keluar</v>
      </c>
      <c r="E123" s="7" t="n">
        <f aca="false">'Kas Pribadi'!F9</f>
        <v>2500000</v>
      </c>
      <c r="F123" s="4" t="n">
        <f aca="false">IF(A123="","",A123*1000+ROW())</f>
        <v>46034123</v>
      </c>
      <c r="G123" s="4" t="n">
        <f aca="false">IF(F123="","",RANK(F123,$F$2:$F$181))</f>
        <v>37</v>
      </c>
    </row>
    <row r="124" customFormat="false" ht="15" hidden="false" customHeight="false" outlineLevel="0" collapsed="false">
      <c r="A124" s="40" t="str">
        <f aca="false">IF('Kas Pribadi'!A10="","",'Kas Pribadi'!A10)</f>
        <v/>
      </c>
      <c r="B124" s="0" t="str">
        <f aca="false">IF('Kas Pribadi'!A10="","","Kas Pribadi")</f>
        <v/>
      </c>
      <c r="C124" s="4" t="n">
        <f aca="false">'Kas Pribadi'!B10</f>
        <v>0</v>
      </c>
      <c r="D124" s="4" t="n">
        <f aca="false">'Kas Pribadi'!E10</f>
        <v>0</v>
      </c>
      <c r="E124" s="7" t="n">
        <f aca="false">'Kas Pribadi'!F10</f>
        <v>0</v>
      </c>
      <c r="F124" s="0" t="str">
        <f aca="false">IF(A124="","",A124*1000+ROW())</f>
        <v/>
      </c>
      <c r="G124" s="0" t="str">
        <f aca="false">IF(F124="","",RANK(F124,$F$2:$F$181))</f>
        <v/>
      </c>
    </row>
    <row r="125" customFormat="false" ht="15" hidden="false" customHeight="false" outlineLevel="0" collapsed="false">
      <c r="A125" s="40" t="str">
        <f aca="false">IF('Kas Pribadi'!A11="","",'Kas Pribadi'!A11)</f>
        <v/>
      </c>
      <c r="B125" s="0" t="str">
        <f aca="false">IF('Kas Pribadi'!A11="","","Kas Pribadi")</f>
        <v/>
      </c>
      <c r="C125" s="4" t="n">
        <f aca="false">'Kas Pribadi'!B11</f>
        <v>0</v>
      </c>
      <c r="D125" s="4" t="n">
        <f aca="false">'Kas Pribadi'!E11</f>
        <v>0</v>
      </c>
      <c r="E125" s="7" t="n">
        <f aca="false">'Kas Pribadi'!F11</f>
        <v>0</v>
      </c>
      <c r="F125" s="0" t="str">
        <f aca="false">IF(A125="","",A125*1000+ROW())</f>
        <v/>
      </c>
      <c r="G125" s="0" t="str">
        <f aca="false">IF(F125="","",RANK(F125,$F$2:$F$181))</f>
        <v/>
      </c>
    </row>
    <row r="126" customFormat="false" ht="15" hidden="false" customHeight="false" outlineLevel="0" collapsed="false">
      <c r="A126" s="40" t="str">
        <f aca="false">IF('Kas Pribadi'!A12="","",'Kas Pribadi'!A12)</f>
        <v/>
      </c>
      <c r="B126" s="0" t="str">
        <f aca="false">IF('Kas Pribadi'!A12="","","Kas Pribadi")</f>
        <v/>
      </c>
      <c r="C126" s="4" t="n">
        <f aca="false">'Kas Pribadi'!B12</f>
        <v>0</v>
      </c>
      <c r="D126" s="4" t="n">
        <f aca="false">'Kas Pribadi'!E12</f>
        <v>0</v>
      </c>
      <c r="E126" s="7" t="n">
        <f aca="false">'Kas Pribadi'!F12</f>
        <v>0</v>
      </c>
      <c r="F126" s="0" t="str">
        <f aca="false">IF(A126="","",A126*1000+ROW())</f>
        <v/>
      </c>
      <c r="G126" s="0" t="str">
        <f aca="false">IF(F126="","",RANK(F126,$F$2:$F$181))</f>
        <v/>
      </c>
    </row>
    <row r="127" customFormat="false" ht="15" hidden="false" customHeight="false" outlineLevel="0" collapsed="false">
      <c r="A127" s="40" t="str">
        <f aca="false">IF('Kas Pribadi'!A13="","",'Kas Pribadi'!A13)</f>
        <v/>
      </c>
      <c r="B127" s="0" t="str">
        <f aca="false">IF('Kas Pribadi'!A13="","","Kas Pribadi")</f>
        <v/>
      </c>
      <c r="C127" s="4" t="n">
        <f aca="false">'Kas Pribadi'!B13</f>
        <v>0</v>
      </c>
      <c r="D127" s="4" t="n">
        <f aca="false">'Kas Pribadi'!E13</f>
        <v>0</v>
      </c>
      <c r="E127" s="7" t="n">
        <f aca="false">'Kas Pribadi'!F13</f>
        <v>0</v>
      </c>
      <c r="F127" s="0" t="str">
        <f aca="false">IF(A127="","",A127*1000+ROW())</f>
        <v/>
      </c>
      <c r="G127" s="0" t="str">
        <f aca="false">IF(F127="","",RANK(F127,$F$2:$F$181))</f>
        <v/>
      </c>
    </row>
    <row r="128" customFormat="false" ht="15" hidden="false" customHeight="false" outlineLevel="0" collapsed="false">
      <c r="A128" s="40" t="str">
        <f aca="false">IF('Kas Pribadi'!A14="","",'Kas Pribadi'!A14)</f>
        <v/>
      </c>
      <c r="B128" s="0" t="str">
        <f aca="false">IF('Kas Pribadi'!A14="","","Kas Pribadi")</f>
        <v/>
      </c>
      <c r="C128" s="4" t="n">
        <f aca="false">'Kas Pribadi'!B14</f>
        <v>0</v>
      </c>
      <c r="D128" s="4" t="n">
        <f aca="false">'Kas Pribadi'!E14</f>
        <v>0</v>
      </c>
      <c r="E128" s="7" t="n">
        <f aca="false">'Kas Pribadi'!F14</f>
        <v>0</v>
      </c>
      <c r="F128" s="0" t="str">
        <f aca="false">IF(A128="","",A128*1000+ROW())</f>
        <v/>
      </c>
      <c r="G128" s="0" t="str">
        <f aca="false">IF(F128="","",RANK(F128,$F$2:$F$181))</f>
        <v/>
      </c>
    </row>
    <row r="129" customFormat="false" ht="15" hidden="false" customHeight="false" outlineLevel="0" collapsed="false">
      <c r="A129" s="40" t="str">
        <f aca="false">IF('Kas Pribadi'!A15="","",'Kas Pribadi'!A15)</f>
        <v/>
      </c>
      <c r="B129" s="0" t="str">
        <f aca="false">IF('Kas Pribadi'!A15="","","Kas Pribadi")</f>
        <v/>
      </c>
      <c r="C129" s="4" t="n">
        <f aca="false">'Kas Pribadi'!B15</f>
        <v>0</v>
      </c>
      <c r="D129" s="4" t="n">
        <f aca="false">'Kas Pribadi'!E15</f>
        <v>0</v>
      </c>
      <c r="E129" s="7" t="n">
        <f aca="false">'Kas Pribadi'!F15</f>
        <v>0</v>
      </c>
      <c r="F129" s="0" t="str">
        <f aca="false">IF(A129="","",A129*1000+ROW())</f>
        <v/>
      </c>
      <c r="G129" s="0" t="str">
        <f aca="false">IF(F129="","",RANK(F129,$F$2:$F$181))</f>
        <v/>
      </c>
    </row>
    <row r="130" customFormat="false" ht="15" hidden="false" customHeight="false" outlineLevel="0" collapsed="false">
      <c r="A130" s="40" t="str">
        <f aca="false">IF('Kas Pribadi'!A16="","",'Kas Pribadi'!A16)</f>
        <v/>
      </c>
      <c r="B130" s="0" t="str">
        <f aca="false">IF('Kas Pribadi'!A16="","","Kas Pribadi")</f>
        <v/>
      </c>
      <c r="C130" s="4" t="n">
        <f aca="false">'Kas Pribadi'!B16</f>
        <v>0</v>
      </c>
      <c r="D130" s="4" t="n">
        <f aca="false">'Kas Pribadi'!E16</f>
        <v>0</v>
      </c>
      <c r="E130" s="7" t="n">
        <f aca="false">'Kas Pribadi'!F16</f>
        <v>0</v>
      </c>
      <c r="F130" s="0" t="str">
        <f aca="false">IF(A130="","",A130*1000+ROW())</f>
        <v/>
      </c>
      <c r="G130" s="0" t="str">
        <f aca="false">IF(F130="","",RANK(F130,$F$2:$F$181))</f>
        <v/>
      </c>
    </row>
    <row r="131" customFormat="false" ht="15" hidden="false" customHeight="false" outlineLevel="0" collapsed="false">
      <c r="A131" s="40" t="str">
        <f aca="false">IF('Kas Pribadi'!A17="","",'Kas Pribadi'!A17)</f>
        <v/>
      </c>
      <c r="B131" s="0" t="str">
        <f aca="false">IF('Kas Pribadi'!A17="","","Kas Pribadi")</f>
        <v/>
      </c>
      <c r="C131" s="4" t="n">
        <f aca="false">'Kas Pribadi'!B17</f>
        <v>0</v>
      </c>
      <c r="D131" s="4" t="n">
        <f aca="false">'Kas Pribadi'!E17</f>
        <v>0</v>
      </c>
      <c r="E131" s="7" t="n">
        <f aca="false">'Kas Pribadi'!F17</f>
        <v>0</v>
      </c>
      <c r="F131" s="0" t="str">
        <f aca="false">IF(A131="","",A131*1000+ROW())</f>
        <v/>
      </c>
      <c r="G131" s="0" t="str">
        <f aca="false">IF(F131="","",RANK(F131,$F$2:$F$181))</f>
        <v/>
      </c>
    </row>
    <row r="132" customFormat="false" ht="15" hidden="false" customHeight="false" outlineLevel="0" collapsed="false">
      <c r="A132" s="40" t="str">
        <f aca="false">IF('Kas Pribadi'!A18="","",'Kas Pribadi'!A18)</f>
        <v/>
      </c>
      <c r="B132" s="0" t="str">
        <f aca="false">IF('Kas Pribadi'!A18="","","Kas Pribadi")</f>
        <v/>
      </c>
      <c r="C132" s="4" t="n">
        <f aca="false">'Kas Pribadi'!B18</f>
        <v>0</v>
      </c>
      <c r="D132" s="4" t="n">
        <f aca="false">'Kas Pribadi'!E18</f>
        <v>0</v>
      </c>
      <c r="E132" s="7" t="n">
        <f aca="false">'Kas Pribadi'!F18</f>
        <v>0</v>
      </c>
      <c r="F132" s="0" t="str">
        <f aca="false">IF(A132="","",A132*1000+ROW())</f>
        <v/>
      </c>
      <c r="G132" s="0" t="str">
        <f aca="false">IF(F132="","",RANK(F132,$F$2:$F$181))</f>
        <v/>
      </c>
    </row>
    <row r="133" customFormat="false" ht="15" hidden="false" customHeight="false" outlineLevel="0" collapsed="false">
      <c r="A133" s="40" t="str">
        <f aca="false">IF('Kas Pribadi'!A19="","",'Kas Pribadi'!A19)</f>
        <v/>
      </c>
      <c r="B133" s="0" t="str">
        <f aca="false">IF('Kas Pribadi'!A19="","","Kas Pribadi")</f>
        <v/>
      </c>
      <c r="C133" s="4" t="n">
        <f aca="false">'Kas Pribadi'!B19</f>
        <v>0</v>
      </c>
      <c r="D133" s="4" t="n">
        <f aca="false">'Kas Pribadi'!E19</f>
        <v>0</v>
      </c>
      <c r="E133" s="7" t="n">
        <f aca="false">'Kas Pribadi'!F19</f>
        <v>0</v>
      </c>
      <c r="F133" s="0" t="str">
        <f aca="false">IF(A133="","",A133*1000+ROW())</f>
        <v/>
      </c>
      <c r="G133" s="0" t="str">
        <f aca="false">IF(F133="","",RANK(F133,$F$2:$F$181))</f>
        <v/>
      </c>
    </row>
    <row r="134" customFormat="false" ht="15" hidden="false" customHeight="false" outlineLevel="0" collapsed="false">
      <c r="A134" s="40" t="str">
        <f aca="false">IF('Kas Pribadi'!A20="","",'Kas Pribadi'!A20)</f>
        <v/>
      </c>
      <c r="B134" s="0" t="str">
        <f aca="false">IF('Kas Pribadi'!A20="","","Kas Pribadi")</f>
        <v/>
      </c>
      <c r="C134" s="4" t="n">
        <f aca="false">'Kas Pribadi'!B20</f>
        <v>0</v>
      </c>
      <c r="D134" s="4" t="n">
        <f aca="false">'Kas Pribadi'!E20</f>
        <v>0</v>
      </c>
      <c r="E134" s="7" t="n">
        <f aca="false">'Kas Pribadi'!F20</f>
        <v>0</v>
      </c>
      <c r="F134" s="0" t="str">
        <f aca="false">IF(A134="","",A134*1000+ROW())</f>
        <v/>
      </c>
      <c r="G134" s="0" t="str">
        <f aca="false">IF(F134="","",RANK(F134,$F$2:$F$181))</f>
        <v/>
      </c>
    </row>
    <row r="135" customFormat="false" ht="15" hidden="false" customHeight="false" outlineLevel="0" collapsed="false">
      <c r="A135" s="40" t="str">
        <f aca="false">IF('Kas Pribadi'!A21="","",'Kas Pribadi'!A21)</f>
        <v/>
      </c>
      <c r="B135" s="0" t="str">
        <f aca="false">IF('Kas Pribadi'!A21="","","Kas Pribadi")</f>
        <v/>
      </c>
      <c r="C135" s="4" t="n">
        <f aca="false">'Kas Pribadi'!B21</f>
        <v>0</v>
      </c>
      <c r="D135" s="4" t="n">
        <f aca="false">'Kas Pribadi'!E21</f>
        <v>0</v>
      </c>
      <c r="E135" s="7" t="n">
        <f aca="false">'Kas Pribadi'!F21</f>
        <v>0</v>
      </c>
      <c r="F135" s="0" t="str">
        <f aca="false">IF(A135="","",A135*1000+ROW())</f>
        <v/>
      </c>
      <c r="G135" s="0" t="str">
        <f aca="false">IF(F135="","",RANK(F135,$F$2:$F$181))</f>
        <v/>
      </c>
    </row>
    <row r="136" customFormat="false" ht="15" hidden="false" customHeight="false" outlineLevel="0" collapsed="false">
      <c r="A136" s="40" t="str">
        <f aca="false">IF('Kas Pribadi'!A22="","",'Kas Pribadi'!A22)</f>
        <v/>
      </c>
      <c r="B136" s="0" t="str">
        <f aca="false">IF('Kas Pribadi'!A22="","","Kas Pribadi")</f>
        <v/>
      </c>
      <c r="C136" s="4" t="n">
        <f aca="false">'Kas Pribadi'!B22</f>
        <v>0</v>
      </c>
      <c r="D136" s="4" t="n">
        <f aca="false">'Kas Pribadi'!E22</f>
        <v>0</v>
      </c>
      <c r="E136" s="7" t="n">
        <f aca="false">'Kas Pribadi'!F22</f>
        <v>0</v>
      </c>
      <c r="F136" s="0" t="str">
        <f aca="false">IF(A136="","",A136*1000+ROW())</f>
        <v/>
      </c>
      <c r="G136" s="0" t="str">
        <f aca="false">IF(F136="","",RANK(F136,$F$2:$F$181))</f>
        <v/>
      </c>
    </row>
    <row r="137" customFormat="false" ht="15" hidden="false" customHeight="false" outlineLevel="0" collapsed="false">
      <c r="A137" s="40" t="str">
        <f aca="false">IF('Kas Pribadi'!A23="","",'Kas Pribadi'!A23)</f>
        <v/>
      </c>
      <c r="B137" s="0" t="str">
        <f aca="false">IF('Kas Pribadi'!A23="","","Kas Pribadi")</f>
        <v/>
      </c>
      <c r="C137" s="4" t="n">
        <f aca="false">'Kas Pribadi'!B23</f>
        <v>0</v>
      </c>
      <c r="D137" s="4" t="n">
        <f aca="false">'Kas Pribadi'!E23</f>
        <v>0</v>
      </c>
      <c r="E137" s="7" t="n">
        <f aca="false">'Kas Pribadi'!F23</f>
        <v>0</v>
      </c>
      <c r="F137" s="0" t="str">
        <f aca="false">IF(A137="","",A137*1000+ROW())</f>
        <v/>
      </c>
      <c r="G137" s="0" t="str">
        <f aca="false">IF(F137="","",RANK(F137,$F$2:$F$181))</f>
        <v/>
      </c>
    </row>
    <row r="138" customFormat="false" ht="15" hidden="false" customHeight="false" outlineLevel="0" collapsed="false">
      <c r="A138" s="40" t="str">
        <f aca="false">IF('Kas Pribadi'!A24="","",'Kas Pribadi'!A24)</f>
        <v/>
      </c>
      <c r="B138" s="0" t="str">
        <f aca="false">IF('Kas Pribadi'!A24="","","Kas Pribadi")</f>
        <v/>
      </c>
      <c r="C138" s="4" t="n">
        <f aca="false">'Kas Pribadi'!B24</f>
        <v>0</v>
      </c>
      <c r="D138" s="4" t="n">
        <f aca="false">'Kas Pribadi'!E24</f>
        <v>0</v>
      </c>
      <c r="E138" s="7" t="n">
        <f aca="false">'Kas Pribadi'!F24</f>
        <v>0</v>
      </c>
      <c r="F138" s="0" t="str">
        <f aca="false">IF(A138="","",A138*1000+ROW())</f>
        <v/>
      </c>
      <c r="G138" s="0" t="str">
        <f aca="false">IF(F138="","",RANK(F138,$F$2:$F$181))</f>
        <v/>
      </c>
    </row>
    <row r="139" customFormat="false" ht="15" hidden="false" customHeight="false" outlineLevel="0" collapsed="false">
      <c r="A139" s="40" t="str">
        <f aca="false">IF('Kas Pribadi'!A25="","",'Kas Pribadi'!A25)</f>
        <v/>
      </c>
      <c r="B139" s="0" t="str">
        <f aca="false">IF('Kas Pribadi'!A25="","","Kas Pribadi")</f>
        <v/>
      </c>
      <c r="C139" s="4" t="n">
        <f aca="false">'Kas Pribadi'!B25</f>
        <v>0</v>
      </c>
      <c r="D139" s="4" t="n">
        <f aca="false">'Kas Pribadi'!E25</f>
        <v>0</v>
      </c>
      <c r="E139" s="7" t="n">
        <f aca="false">'Kas Pribadi'!F25</f>
        <v>0</v>
      </c>
      <c r="F139" s="0" t="str">
        <f aca="false">IF(A139="","",A139*1000+ROW())</f>
        <v/>
      </c>
      <c r="G139" s="0" t="str">
        <f aca="false">IF(F139="","",RANK(F139,$F$2:$F$181))</f>
        <v/>
      </c>
    </row>
    <row r="140" customFormat="false" ht="15" hidden="false" customHeight="false" outlineLevel="0" collapsed="false">
      <c r="A140" s="40" t="str">
        <f aca="false">IF('Kas Pribadi'!A26="","",'Kas Pribadi'!A26)</f>
        <v/>
      </c>
      <c r="B140" s="0" t="str">
        <f aca="false">IF('Kas Pribadi'!A26="","","Kas Pribadi")</f>
        <v/>
      </c>
      <c r="C140" s="4" t="n">
        <f aca="false">'Kas Pribadi'!B26</f>
        <v>0</v>
      </c>
      <c r="D140" s="4" t="n">
        <f aca="false">'Kas Pribadi'!E26</f>
        <v>0</v>
      </c>
      <c r="E140" s="7" t="n">
        <f aca="false">'Kas Pribadi'!F26</f>
        <v>0</v>
      </c>
      <c r="F140" s="0" t="str">
        <f aca="false">IF(A140="","",A140*1000+ROW())</f>
        <v/>
      </c>
      <c r="G140" s="0" t="str">
        <f aca="false">IF(F140="","",RANK(F140,$F$2:$F$181))</f>
        <v/>
      </c>
    </row>
    <row r="141" customFormat="false" ht="15" hidden="false" customHeight="false" outlineLevel="0" collapsed="false">
      <c r="A141" s="40" t="str">
        <f aca="false">IF('Kas Pribadi'!A27="","",'Kas Pribadi'!A27)</f>
        <v/>
      </c>
      <c r="B141" s="0" t="str">
        <f aca="false">IF('Kas Pribadi'!A27="","","Kas Pribadi")</f>
        <v/>
      </c>
      <c r="C141" s="4" t="n">
        <f aca="false">'Kas Pribadi'!B27</f>
        <v>0</v>
      </c>
      <c r="D141" s="4" t="n">
        <f aca="false">'Kas Pribadi'!E27</f>
        <v>0</v>
      </c>
      <c r="E141" s="7" t="n">
        <f aca="false">'Kas Pribadi'!F27</f>
        <v>0</v>
      </c>
      <c r="F141" s="0" t="str">
        <f aca="false">IF(A141="","",A141*1000+ROW())</f>
        <v/>
      </c>
      <c r="G141" s="0" t="str">
        <f aca="false">IF(F141="","",RANK(F141,$F$2:$F$181))</f>
        <v/>
      </c>
    </row>
    <row r="142" customFormat="false" ht="15" hidden="false" customHeight="false" outlineLevel="0" collapsed="false">
      <c r="A142" s="40" t="str">
        <f aca="false">IF('Kas Pribadi'!A28="","",'Kas Pribadi'!A28)</f>
        <v/>
      </c>
      <c r="B142" s="0" t="str">
        <f aca="false">IF('Kas Pribadi'!A28="","","Kas Pribadi")</f>
        <v/>
      </c>
      <c r="C142" s="4" t="n">
        <f aca="false">'Kas Pribadi'!B28</f>
        <v>0</v>
      </c>
      <c r="D142" s="4" t="n">
        <f aca="false">'Kas Pribadi'!E28</f>
        <v>0</v>
      </c>
      <c r="E142" s="7" t="n">
        <f aca="false">'Kas Pribadi'!F28</f>
        <v>0</v>
      </c>
      <c r="F142" s="0" t="str">
        <f aca="false">IF(A142="","",A142*1000+ROW())</f>
        <v/>
      </c>
      <c r="G142" s="0" t="str">
        <f aca="false">IF(F142="","",RANK(F142,$F$2:$F$181))</f>
        <v/>
      </c>
    </row>
    <row r="143" customFormat="false" ht="15" hidden="false" customHeight="false" outlineLevel="0" collapsed="false">
      <c r="A143" s="40" t="str">
        <f aca="false">IF('Kas Pribadi'!A29="","",'Kas Pribadi'!A29)</f>
        <v/>
      </c>
      <c r="B143" s="0" t="str">
        <f aca="false">IF('Kas Pribadi'!A29="","","Kas Pribadi")</f>
        <v/>
      </c>
      <c r="C143" s="4" t="n">
        <f aca="false">'Kas Pribadi'!B29</f>
        <v>0</v>
      </c>
      <c r="D143" s="4" t="n">
        <f aca="false">'Kas Pribadi'!E29</f>
        <v>0</v>
      </c>
      <c r="E143" s="7" t="n">
        <f aca="false">'Kas Pribadi'!F29</f>
        <v>0</v>
      </c>
      <c r="F143" s="0" t="str">
        <f aca="false">IF(A143="","",A143*1000+ROW())</f>
        <v/>
      </c>
      <c r="G143" s="0" t="str">
        <f aca="false">IF(F143="","",RANK(F143,$F$2:$F$181))</f>
        <v/>
      </c>
    </row>
    <row r="144" customFormat="false" ht="15" hidden="false" customHeight="false" outlineLevel="0" collapsed="false">
      <c r="A144" s="40" t="str">
        <f aca="false">IF('Kas Pribadi'!A30="","",'Kas Pribadi'!A30)</f>
        <v/>
      </c>
      <c r="B144" s="0" t="str">
        <f aca="false">IF('Kas Pribadi'!A30="","","Kas Pribadi")</f>
        <v/>
      </c>
      <c r="C144" s="4" t="n">
        <f aca="false">'Kas Pribadi'!B30</f>
        <v>0</v>
      </c>
      <c r="D144" s="4" t="n">
        <f aca="false">'Kas Pribadi'!E30</f>
        <v>0</v>
      </c>
      <c r="E144" s="7" t="n">
        <f aca="false">'Kas Pribadi'!F30</f>
        <v>0</v>
      </c>
      <c r="F144" s="0" t="str">
        <f aca="false">IF(A144="","",A144*1000+ROW())</f>
        <v/>
      </c>
      <c r="G144" s="0" t="str">
        <f aca="false">IF(F144="","",RANK(F144,$F$2:$F$181))</f>
        <v/>
      </c>
    </row>
    <row r="145" customFormat="false" ht="15" hidden="false" customHeight="false" outlineLevel="0" collapsed="false">
      <c r="A145" s="40" t="str">
        <f aca="false">IF('Kas Pribadi'!A31="","",'Kas Pribadi'!A31)</f>
        <v/>
      </c>
      <c r="B145" s="0" t="str">
        <f aca="false">IF('Kas Pribadi'!A31="","","Kas Pribadi")</f>
        <v/>
      </c>
      <c r="C145" s="4" t="n">
        <f aca="false">'Kas Pribadi'!B31</f>
        <v>0</v>
      </c>
      <c r="D145" s="4" t="n">
        <f aca="false">'Kas Pribadi'!E31</f>
        <v>0</v>
      </c>
      <c r="E145" s="7" t="n">
        <f aca="false">'Kas Pribadi'!F31</f>
        <v>0</v>
      </c>
      <c r="F145" s="0" t="str">
        <f aca="false">IF(A145="","",A145*1000+ROW())</f>
        <v/>
      </c>
      <c r="G145" s="0" t="str">
        <f aca="false">IF(F145="","",RANK(F145,$F$2:$F$181))</f>
        <v/>
      </c>
    </row>
    <row r="146" customFormat="false" ht="15" hidden="false" customHeight="false" outlineLevel="0" collapsed="false">
      <c r="A146" s="40" t="str">
        <f aca="false">IF('Kas Pribadi'!A32="","",'Kas Pribadi'!A32)</f>
        <v/>
      </c>
      <c r="B146" s="0" t="str">
        <f aca="false">IF('Kas Pribadi'!A32="","","Kas Pribadi")</f>
        <v/>
      </c>
      <c r="C146" s="4" t="n">
        <f aca="false">'Kas Pribadi'!B32</f>
        <v>0</v>
      </c>
      <c r="D146" s="4" t="n">
        <f aca="false">'Kas Pribadi'!E32</f>
        <v>0</v>
      </c>
      <c r="E146" s="7" t="n">
        <f aca="false">'Kas Pribadi'!F32</f>
        <v>0</v>
      </c>
      <c r="F146" s="0" t="str">
        <f aca="false">IF(A146="","",A146*1000+ROW())</f>
        <v/>
      </c>
      <c r="G146" s="0" t="str">
        <f aca="false">IF(F146="","",RANK(F146,$F$2:$F$181))</f>
        <v/>
      </c>
    </row>
    <row r="147" customFormat="false" ht="15" hidden="false" customHeight="false" outlineLevel="0" collapsed="false">
      <c r="A147" s="40" t="str">
        <f aca="false">IF('Kas Pribadi'!A33="","",'Kas Pribadi'!A33)</f>
        <v/>
      </c>
      <c r="B147" s="0" t="str">
        <f aca="false">IF('Kas Pribadi'!A33="","","Kas Pribadi")</f>
        <v/>
      </c>
      <c r="C147" s="4" t="n">
        <f aca="false">'Kas Pribadi'!B33</f>
        <v>0</v>
      </c>
      <c r="D147" s="4" t="n">
        <f aca="false">'Kas Pribadi'!E33</f>
        <v>0</v>
      </c>
      <c r="E147" s="7" t="n">
        <f aca="false">'Kas Pribadi'!F33</f>
        <v>0</v>
      </c>
      <c r="F147" s="0" t="str">
        <f aca="false">IF(A147="","",A147*1000+ROW())</f>
        <v/>
      </c>
      <c r="G147" s="0" t="str">
        <f aca="false">IF(F147="","",RANK(F147,$F$2:$F$181))</f>
        <v/>
      </c>
    </row>
    <row r="148" customFormat="false" ht="15" hidden="false" customHeight="false" outlineLevel="0" collapsed="false">
      <c r="A148" s="40" t="str">
        <f aca="false">IF('Kas Pribadi'!A34="","",'Kas Pribadi'!A34)</f>
        <v/>
      </c>
      <c r="B148" s="0" t="str">
        <f aca="false">IF('Kas Pribadi'!A34="","","Kas Pribadi")</f>
        <v/>
      </c>
      <c r="C148" s="4" t="n">
        <f aca="false">'Kas Pribadi'!B34</f>
        <v>0</v>
      </c>
      <c r="D148" s="4" t="n">
        <f aca="false">'Kas Pribadi'!E34</f>
        <v>0</v>
      </c>
      <c r="E148" s="7" t="n">
        <f aca="false">'Kas Pribadi'!F34</f>
        <v>0</v>
      </c>
      <c r="F148" s="0" t="str">
        <f aca="false">IF(A148="","",A148*1000+ROW())</f>
        <v/>
      </c>
      <c r="G148" s="0" t="str">
        <f aca="false">IF(F148="","",RANK(F148,$F$2:$F$181))</f>
        <v/>
      </c>
    </row>
    <row r="149" customFormat="false" ht="15" hidden="false" customHeight="false" outlineLevel="0" collapsed="false">
      <c r="A149" s="40" t="str">
        <f aca="false">IF('Kas Pribadi'!A35="","",'Kas Pribadi'!A35)</f>
        <v/>
      </c>
      <c r="B149" s="0" t="str">
        <f aca="false">IF('Kas Pribadi'!A35="","","Kas Pribadi")</f>
        <v/>
      </c>
      <c r="C149" s="4" t="n">
        <f aca="false">'Kas Pribadi'!B35</f>
        <v>0</v>
      </c>
      <c r="D149" s="4" t="n">
        <f aca="false">'Kas Pribadi'!E35</f>
        <v>0</v>
      </c>
      <c r="E149" s="7" t="n">
        <f aca="false">'Kas Pribadi'!F35</f>
        <v>0</v>
      </c>
      <c r="F149" s="0" t="str">
        <f aca="false">IF(A149="","",A149*1000+ROW())</f>
        <v/>
      </c>
      <c r="G149" s="0" t="str">
        <f aca="false">IF(F149="","",RANK(F149,$F$2:$F$181))</f>
        <v/>
      </c>
    </row>
    <row r="150" customFormat="false" ht="15" hidden="false" customHeight="false" outlineLevel="0" collapsed="false">
      <c r="A150" s="40" t="str">
        <f aca="false">IF('Kas Pribadi'!A36="","",'Kas Pribadi'!A36)</f>
        <v/>
      </c>
      <c r="B150" s="0" t="str">
        <f aca="false">IF('Kas Pribadi'!A36="","","Kas Pribadi")</f>
        <v/>
      </c>
      <c r="C150" s="4" t="n">
        <f aca="false">'Kas Pribadi'!B36</f>
        <v>0</v>
      </c>
      <c r="D150" s="4" t="n">
        <f aca="false">'Kas Pribadi'!E36</f>
        <v>0</v>
      </c>
      <c r="E150" s="7" t="n">
        <f aca="false">'Kas Pribadi'!F36</f>
        <v>0</v>
      </c>
      <c r="F150" s="0" t="str">
        <f aca="false">IF(A150="","",A150*1000+ROW())</f>
        <v/>
      </c>
      <c r="G150" s="0" t="str">
        <f aca="false">IF(F150="","",RANK(F150,$F$2:$F$181))</f>
        <v/>
      </c>
    </row>
    <row r="151" customFormat="false" ht="15" hidden="false" customHeight="false" outlineLevel="0" collapsed="false">
      <c r="A151" s="40" t="str">
        <f aca="false">IF('Kas Pribadi'!A37="","",'Kas Pribadi'!A37)</f>
        <v/>
      </c>
      <c r="B151" s="0" t="str">
        <f aca="false">IF('Kas Pribadi'!A37="","","Kas Pribadi")</f>
        <v/>
      </c>
      <c r="C151" s="4" t="n">
        <f aca="false">'Kas Pribadi'!B37</f>
        <v>0</v>
      </c>
      <c r="D151" s="4" t="n">
        <f aca="false">'Kas Pribadi'!E37</f>
        <v>0</v>
      </c>
      <c r="E151" s="7" t="n">
        <f aca="false">'Kas Pribadi'!F37</f>
        <v>0</v>
      </c>
      <c r="F151" s="0" t="str">
        <f aca="false">IF(A151="","",A151*1000+ROW())</f>
        <v/>
      </c>
      <c r="G151" s="0" t="str">
        <f aca="false">IF(F151="","",RANK(F151,$F$2:$F$181))</f>
        <v/>
      </c>
    </row>
    <row r="152" customFormat="false" ht="15" hidden="false" customHeight="false" outlineLevel="0" collapsed="false">
      <c r="A152" s="40" t="str">
        <f aca="false">IF('Kas Pribadi'!A38="","",'Kas Pribadi'!A38)</f>
        <v/>
      </c>
      <c r="B152" s="0" t="str">
        <f aca="false">IF('Kas Pribadi'!A38="","","Kas Pribadi")</f>
        <v/>
      </c>
      <c r="C152" s="4" t="n">
        <f aca="false">'Kas Pribadi'!B38</f>
        <v>0</v>
      </c>
      <c r="D152" s="4" t="n">
        <f aca="false">'Kas Pribadi'!E38</f>
        <v>0</v>
      </c>
      <c r="E152" s="7" t="n">
        <f aca="false">'Kas Pribadi'!F38</f>
        <v>0</v>
      </c>
      <c r="F152" s="0" t="str">
        <f aca="false">IF(A152="","",A152*1000+ROW())</f>
        <v/>
      </c>
      <c r="G152" s="0" t="str">
        <f aca="false">IF(F152="","",RANK(F152,$F$2:$F$181))</f>
        <v/>
      </c>
    </row>
    <row r="153" customFormat="false" ht="15" hidden="false" customHeight="false" outlineLevel="0" collapsed="false">
      <c r="A153" s="40" t="str">
        <f aca="false">IF('Kas Pribadi'!A39="","",'Kas Pribadi'!A39)</f>
        <v/>
      </c>
      <c r="B153" s="0" t="str">
        <f aca="false">IF('Kas Pribadi'!A39="","","Kas Pribadi")</f>
        <v/>
      </c>
      <c r="C153" s="4" t="n">
        <f aca="false">'Kas Pribadi'!B39</f>
        <v>0</v>
      </c>
      <c r="D153" s="4" t="n">
        <f aca="false">'Kas Pribadi'!E39</f>
        <v>0</v>
      </c>
      <c r="E153" s="7" t="n">
        <f aca="false">'Kas Pribadi'!F39</f>
        <v>0</v>
      </c>
      <c r="F153" s="0" t="str">
        <f aca="false">IF(A153="","",A153*1000+ROW())</f>
        <v/>
      </c>
      <c r="G153" s="0" t="str">
        <f aca="false">IF(F153="","",RANK(F153,$F$2:$F$181))</f>
        <v/>
      </c>
    </row>
    <row r="154" customFormat="false" ht="15" hidden="false" customHeight="false" outlineLevel="0" collapsed="false">
      <c r="A154" s="40" t="str">
        <f aca="false">IF('Kas Pribadi'!A40="","",'Kas Pribadi'!A40)</f>
        <v/>
      </c>
      <c r="B154" s="0" t="str">
        <f aca="false">IF('Kas Pribadi'!A40="","","Kas Pribadi")</f>
        <v/>
      </c>
      <c r="C154" s="4" t="n">
        <f aca="false">'Kas Pribadi'!B40</f>
        <v>0</v>
      </c>
      <c r="D154" s="4" t="n">
        <f aca="false">'Kas Pribadi'!E40</f>
        <v>0</v>
      </c>
      <c r="E154" s="7" t="n">
        <f aca="false">'Kas Pribadi'!F40</f>
        <v>0</v>
      </c>
      <c r="F154" s="0" t="str">
        <f aca="false">IF(A154="","",A154*1000+ROW())</f>
        <v/>
      </c>
      <c r="G154" s="0" t="str">
        <f aca="false">IF(F154="","",RANK(F154,$F$2:$F$181))</f>
        <v/>
      </c>
    </row>
    <row r="155" customFormat="false" ht="15" hidden="false" customHeight="false" outlineLevel="0" collapsed="false">
      <c r="A155" s="40" t="str">
        <f aca="false">IF('Kas Pribadi'!A41="","",'Kas Pribadi'!A41)</f>
        <v/>
      </c>
      <c r="B155" s="0" t="str">
        <f aca="false">IF('Kas Pribadi'!A41="","","Kas Pribadi")</f>
        <v/>
      </c>
      <c r="C155" s="4" t="n">
        <f aca="false">'Kas Pribadi'!B41</f>
        <v>0</v>
      </c>
      <c r="D155" s="4" t="n">
        <f aca="false">'Kas Pribadi'!E41</f>
        <v>0</v>
      </c>
      <c r="E155" s="7" t="n">
        <f aca="false">'Kas Pribadi'!F41</f>
        <v>0</v>
      </c>
      <c r="F155" s="0" t="str">
        <f aca="false">IF(A155="","",A155*1000+ROW())</f>
        <v/>
      </c>
      <c r="G155" s="0" t="str">
        <f aca="false">IF(F155="","",RANK(F155,$F$2:$F$181))</f>
        <v/>
      </c>
    </row>
    <row r="156" customFormat="false" ht="15" hidden="false" customHeight="false" outlineLevel="0" collapsed="false">
      <c r="A156" s="40" t="str">
        <f aca="false">IF('Kas Pribadi'!A42="","",'Kas Pribadi'!A42)</f>
        <v/>
      </c>
      <c r="B156" s="0" t="str">
        <f aca="false">IF('Kas Pribadi'!A42="","","Kas Pribadi")</f>
        <v/>
      </c>
      <c r="C156" s="4" t="n">
        <f aca="false">'Kas Pribadi'!B42</f>
        <v>0</v>
      </c>
      <c r="D156" s="4" t="n">
        <f aca="false">'Kas Pribadi'!E42</f>
        <v>0</v>
      </c>
      <c r="E156" s="7" t="n">
        <f aca="false">'Kas Pribadi'!F42</f>
        <v>0</v>
      </c>
      <c r="F156" s="0" t="str">
        <f aca="false">IF(A156="","",A156*1000+ROW())</f>
        <v/>
      </c>
      <c r="G156" s="0" t="str">
        <f aca="false">IF(F156="","",RANK(F156,$F$2:$F$181))</f>
        <v/>
      </c>
    </row>
    <row r="157" customFormat="false" ht="15" hidden="false" customHeight="false" outlineLevel="0" collapsed="false">
      <c r="A157" s="40" t="str">
        <f aca="false">IF('Kas Pribadi'!A43="","",'Kas Pribadi'!A43)</f>
        <v/>
      </c>
      <c r="B157" s="0" t="str">
        <f aca="false">IF('Kas Pribadi'!A43="","","Kas Pribadi")</f>
        <v/>
      </c>
      <c r="C157" s="4" t="n">
        <f aca="false">'Kas Pribadi'!B43</f>
        <v>0</v>
      </c>
      <c r="D157" s="4" t="n">
        <f aca="false">'Kas Pribadi'!E43</f>
        <v>0</v>
      </c>
      <c r="E157" s="7" t="n">
        <f aca="false">'Kas Pribadi'!F43</f>
        <v>0</v>
      </c>
      <c r="F157" s="0" t="str">
        <f aca="false">IF(A157="","",A157*1000+ROW())</f>
        <v/>
      </c>
      <c r="G157" s="0" t="str">
        <f aca="false">IF(F157="","",RANK(F157,$F$2:$F$181))</f>
        <v/>
      </c>
    </row>
    <row r="158" customFormat="false" ht="15" hidden="false" customHeight="false" outlineLevel="0" collapsed="false">
      <c r="A158" s="40" t="str">
        <f aca="false">IF('Kas Pribadi'!A44="","",'Kas Pribadi'!A44)</f>
        <v/>
      </c>
      <c r="B158" s="0" t="str">
        <f aca="false">IF('Kas Pribadi'!A44="","","Kas Pribadi")</f>
        <v/>
      </c>
      <c r="C158" s="4" t="n">
        <f aca="false">'Kas Pribadi'!B44</f>
        <v>0</v>
      </c>
      <c r="D158" s="4" t="n">
        <f aca="false">'Kas Pribadi'!E44</f>
        <v>0</v>
      </c>
      <c r="E158" s="7" t="n">
        <f aca="false">'Kas Pribadi'!F44</f>
        <v>0</v>
      </c>
      <c r="F158" s="0" t="str">
        <f aca="false">IF(A158="","",A158*1000+ROW())</f>
        <v/>
      </c>
      <c r="G158" s="0" t="str">
        <f aca="false">IF(F158="","",RANK(F158,$F$2:$F$181))</f>
        <v/>
      </c>
    </row>
    <row r="159" customFormat="false" ht="15" hidden="false" customHeight="false" outlineLevel="0" collapsed="false">
      <c r="A159" s="40" t="str">
        <f aca="false">IF('Kas Pribadi'!A45="","",'Kas Pribadi'!A45)</f>
        <v/>
      </c>
      <c r="B159" s="0" t="str">
        <f aca="false">IF('Kas Pribadi'!A45="","","Kas Pribadi")</f>
        <v/>
      </c>
      <c r="C159" s="4" t="n">
        <f aca="false">'Kas Pribadi'!B45</f>
        <v>0</v>
      </c>
      <c r="D159" s="4" t="n">
        <f aca="false">'Kas Pribadi'!E45</f>
        <v>0</v>
      </c>
      <c r="E159" s="7" t="n">
        <f aca="false">'Kas Pribadi'!F45</f>
        <v>0</v>
      </c>
      <c r="F159" s="0" t="str">
        <f aca="false">IF(A159="","",A159*1000+ROW())</f>
        <v/>
      </c>
      <c r="G159" s="0" t="str">
        <f aca="false">IF(F159="","",RANK(F159,$F$2:$F$181))</f>
        <v/>
      </c>
    </row>
    <row r="160" customFormat="false" ht="15" hidden="false" customHeight="false" outlineLevel="0" collapsed="false">
      <c r="A160" s="40" t="str">
        <f aca="false">IF('Kas Pribadi'!A46="","",'Kas Pribadi'!A46)</f>
        <v/>
      </c>
      <c r="B160" s="0" t="str">
        <f aca="false">IF('Kas Pribadi'!A46="","","Kas Pribadi")</f>
        <v/>
      </c>
      <c r="C160" s="4" t="n">
        <f aca="false">'Kas Pribadi'!B46</f>
        <v>0</v>
      </c>
      <c r="D160" s="4" t="n">
        <f aca="false">'Kas Pribadi'!E46</f>
        <v>0</v>
      </c>
      <c r="E160" s="7" t="n">
        <f aca="false">'Kas Pribadi'!F46</f>
        <v>0</v>
      </c>
      <c r="F160" s="0" t="str">
        <f aca="false">IF(A160="","",A160*1000+ROW())</f>
        <v/>
      </c>
      <c r="G160" s="0" t="str">
        <f aca="false">IF(F160="","",RANK(F160,$F$2:$F$181))</f>
        <v/>
      </c>
    </row>
    <row r="161" customFormat="false" ht="15" hidden="false" customHeight="false" outlineLevel="0" collapsed="false">
      <c r="A161" s="40" t="str">
        <f aca="false">IF('Kas Pribadi'!A47="","",'Kas Pribadi'!A47)</f>
        <v/>
      </c>
      <c r="B161" s="0" t="str">
        <f aca="false">IF('Kas Pribadi'!A47="","","Kas Pribadi")</f>
        <v/>
      </c>
      <c r="C161" s="4" t="n">
        <f aca="false">'Kas Pribadi'!B47</f>
        <v>0</v>
      </c>
      <c r="D161" s="4" t="n">
        <f aca="false">'Kas Pribadi'!E47</f>
        <v>0</v>
      </c>
      <c r="E161" s="7" t="n">
        <f aca="false">'Kas Pribadi'!F47</f>
        <v>0</v>
      </c>
      <c r="F161" s="0" t="str">
        <f aca="false">IF(A161="","",A161*1000+ROW())</f>
        <v/>
      </c>
      <c r="G161" s="0" t="str">
        <f aca="false">IF(F161="","",RANK(F161,$F$2:$F$181))</f>
        <v/>
      </c>
    </row>
    <row r="162" customFormat="false" ht="15" hidden="false" customHeight="false" outlineLevel="0" collapsed="false">
      <c r="A162" s="40" t="str">
        <f aca="false">IF('Kas Pribadi'!A48="","",'Kas Pribadi'!A48)</f>
        <v/>
      </c>
      <c r="B162" s="0" t="str">
        <f aca="false">IF('Kas Pribadi'!A48="","","Kas Pribadi")</f>
        <v/>
      </c>
      <c r="C162" s="4" t="n">
        <f aca="false">'Kas Pribadi'!B48</f>
        <v>0</v>
      </c>
      <c r="D162" s="4" t="n">
        <f aca="false">'Kas Pribadi'!E48</f>
        <v>0</v>
      </c>
      <c r="E162" s="7" t="n">
        <f aca="false">'Kas Pribadi'!F48</f>
        <v>0</v>
      </c>
      <c r="F162" s="0" t="str">
        <f aca="false">IF(A162="","",A162*1000+ROW())</f>
        <v/>
      </c>
      <c r="G162" s="0" t="str">
        <f aca="false">IF(F162="","",RANK(F162,$F$2:$F$181))</f>
        <v/>
      </c>
    </row>
    <row r="163" customFormat="false" ht="15" hidden="false" customHeight="false" outlineLevel="0" collapsed="false">
      <c r="A163" s="40" t="str">
        <f aca="false">IF('Kas Pribadi'!A49="","",'Kas Pribadi'!A49)</f>
        <v/>
      </c>
      <c r="B163" s="0" t="str">
        <f aca="false">IF('Kas Pribadi'!A49="","","Kas Pribadi")</f>
        <v/>
      </c>
      <c r="C163" s="4" t="n">
        <f aca="false">'Kas Pribadi'!B49</f>
        <v>0</v>
      </c>
      <c r="D163" s="4" t="n">
        <f aca="false">'Kas Pribadi'!E49</f>
        <v>0</v>
      </c>
      <c r="E163" s="7" t="n">
        <f aca="false">'Kas Pribadi'!F49</f>
        <v>0</v>
      </c>
      <c r="F163" s="0" t="str">
        <f aca="false">IF(A163="","",A163*1000+ROW())</f>
        <v/>
      </c>
      <c r="G163" s="0" t="str">
        <f aca="false">IF(F163="","",RANK(F163,$F$2:$F$181))</f>
        <v/>
      </c>
    </row>
    <row r="164" customFormat="false" ht="15" hidden="false" customHeight="false" outlineLevel="0" collapsed="false">
      <c r="A164" s="40" t="str">
        <f aca="false">IF('Kas Pribadi'!A50="","",'Kas Pribadi'!A50)</f>
        <v/>
      </c>
      <c r="B164" s="0" t="str">
        <f aca="false">IF('Kas Pribadi'!A50="","","Kas Pribadi")</f>
        <v/>
      </c>
      <c r="C164" s="4" t="n">
        <f aca="false">'Kas Pribadi'!B50</f>
        <v>0</v>
      </c>
      <c r="D164" s="4" t="n">
        <f aca="false">'Kas Pribadi'!E50</f>
        <v>0</v>
      </c>
      <c r="E164" s="7" t="n">
        <f aca="false">'Kas Pribadi'!F50</f>
        <v>0</v>
      </c>
      <c r="F164" s="0" t="str">
        <f aca="false">IF(A164="","",A164*1000+ROW())</f>
        <v/>
      </c>
      <c r="G164" s="0" t="str">
        <f aca="false">IF(F164="","",RANK(F164,$F$2:$F$181))</f>
        <v/>
      </c>
    </row>
    <row r="165" customFormat="false" ht="15" hidden="false" customHeight="false" outlineLevel="0" collapsed="false">
      <c r="A165" s="40" t="str">
        <f aca="false">IF('Kas Pribadi'!A51="","",'Kas Pribadi'!A51)</f>
        <v/>
      </c>
      <c r="B165" s="0" t="str">
        <f aca="false">IF('Kas Pribadi'!A51="","","Kas Pribadi")</f>
        <v/>
      </c>
      <c r="C165" s="4" t="n">
        <f aca="false">'Kas Pribadi'!B51</f>
        <v>0</v>
      </c>
      <c r="D165" s="4" t="n">
        <f aca="false">'Kas Pribadi'!E51</f>
        <v>0</v>
      </c>
      <c r="E165" s="7" t="n">
        <f aca="false">'Kas Pribadi'!F51</f>
        <v>0</v>
      </c>
      <c r="F165" s="0" t="str">
        <f aca="false">IF(A165="","",A165*1000+ROW())</f>
        <v/>
      </c>
      <c r="G165" s="0" t="str">
        <f aca="false">IF(F165="","",RANK(F165,$F$2:$F$181))</f>
        <v/>
      </c>
    </row>
    <row r="166" customFormat="false" ht="15" hidden="false" customHeight="false" outlineLevel="0" collapsed="false">
      <c r="A166" s="40" t="str">
        <f aca="false">IF('Kas Pribadi'!A52="","",'Kas Pribadi'!A52)</f>
        <v/>
      </c>
      <c r="B166" s="0" t="str">
        <f aca="false">IF('Kas Pribadi'!A52="","","Kas Pribadi")</f>
        <v/>
      </c>
      <c r="C166" s="4" t="n">
        <f aca="false">'Kas Pribadi'!B52</f>
        <v>0</v>
      </c>
      <c r="D166" s="4" t="n">
        <f aca="false">'Kas Pribadi'!E52</f>
        <v>0</v>
      </c>
      <c r="E166" s="7" t="n">
        <f aca="false">'Kas Pribadi'!F52</f>
        <v>0</v>
      </c>
      <c r="F166" s="0" t="str">
        <f aca="false">IF(A166="","",A166*1000+ROW())</f>
        <v/>
      </c>
      <c r="G166" s="0" t="str">
        <f aca="false">IF(F166="","",RANK(F166,$F$2:$F$181))</f>
        <v/>
      </c>
    </row>
    <row r="167" customFormat="false" ht="15" hidden="false" customHeight="false" outlineLevel="0" collapsed="false">
      <c r="A167" s="40" t="str">
        <f aca="false">IF('Kas Pribadi'!A53="","",'Kas Pribadi'!A53)</f>
        <v/>
      </c>
      <c r="B167" s="0" t="str">
        <f aca="false">IF('Kas Pribadi'!A53="","","Kas Pribadi")</f>
        <v/>
      </c>
      <c r="C167" s="4" t="n">
        <f aca="false">'Kas Pribadi'!B53</f>
        <v>0</v>
      </c>
      <c r="D167" s="4" t="n">
        <f aca="false">'Kas Pribadi'!E53</f>
        <v>0</v>
      </c>
      <c r="E167" s="7" t="n">
        <f aca="false">'Kas Pribadi'!F53</f>
        <v>0</v>
      </c>
      <c r="F167" s="0" t="str">
        <f aca="false">IF(A167="","",A167*1000+ROW())</f>
        <v/>
      </c>
      <c r="G167" s="0" t="str">
        <f aca="false">IF(F167="","",RANK(F167,$F$2:$F$181))</f>
        <v/>
      </c>
    </row>
    <row r="168" customFormat="false" ht="15" hidden="false" customHeight="false" outlineLevel="0" collapsed="false">
      <c r="A168" s="40" t="str">
        <f aca="false">IF('Kas Pribadi'!A54="","",'Kas Pribadi'!A54)</f>
        <v/>
      </c>
      <c r="B168" s="0" t="str">
        <f aca="false">IF('Kas Pribadi'!A54="","","Kas Pribadi")</f>
        <v/>
      </c>
      <c r="C168" s="4" t="n">
        <f aca="false">'Kas Pribadi'!B54</f>
        <v>0</v>
      </c>
      <c r="D168" s="4" t="n">
        <f aca="false">'Kas Pribadi'!E54</f>
        <v>0</v>
      </c>
      <c r="E168" s="7" t="n">
        <f aca="false">'Kas Pribadi'!F54</f>
        <v>0</v>
      </c>
      <c r="F168" s="0" t="str">
        <f aca="false">IF(A168="","",A168*1000+ROW())</f>
        <v/>
      </c>
      <c r="G168" s="0" t="str">
        <f aca="false">IF(F168="","",RANK(F168,$F$2:$F$181))</f>
        <v/>
      </c>
    </row>
    <row r="169" customFormat="false" ht="15" hidden="false" customHeight="false" outlineLevel="0" collapsed="false">
      <c r="A169" s="40" t="str">
        <f aca="false">IF('Kas Pribadi'!A55="","",'Kas Pribadi'!A55)</f>
        <v/>
      </c>
      <c r="B169" s="0" t="str">
        <f aca="false">IF('Kas Pribadi'!A55="","","Kas Pribadi")</f>
        <v/>
      </c>
      <c r="C169" s="4" t="n">
        <f aca="false">'Kas Pribadi'!B55</f>
        <v>0</v>
      </c>
      <c r="D169" s="4" t="n">
        <f aca="false">'Kas Pribadi'!E55</f>
        <v>0</v>
      </c>
      <c r="E169" s="7" t="n">
        <f aca="false">'Kas Pribadi'!F55</f>
        <v>0</v>
      </c>
      <c r="F169" s="0" t="str">
        <f aca="false">IF(A169="","",A169*1000+ROW())</f>
        <v/>
      </c>
      <c r="G169" s="0" t="str">
        <f aca="false">IF(F169="","",RANK(F169,$F$2:$F$181))</f>
        <v/>
      </c>
    </row>
    <row r="170" customFormat="false" ht="15" hidden="false" customHeight="false" outlineLevel="0" collapsed="false">
      <c r="A170" s="40" t="str">
        <f aca="false">IF('Kas Pribadi'!A56="","",'Kas Pribadi'!A56)</f>
        <v/>
      </c>
      <c r="B170" s="0" t="str">
        <f aca="false">IF('Kas Pribadi'!A56="","","Kas Pribadi")</f>
        <v/>
      </c>
      <c r="C170" s="4" t="n">
        <f aca="false">'Kas Pribadi'!B56</f>
        <v>0</v>
      </c>
      <c r="D170" s="4" t="n">
        <f aca="false">'Kas Pribadi'!E56</f>
        <v>0</v>
      </c>
      <c r="E170" s="7" t="n">
        <f aca="false">'Kas Pribadi'!F56</f>
        <v>0</v>
      </c>
      <c r="F170" s="0" t="str">
        <f aca="false">IF(A170="","",A170*1000+ROW())</f>
        <v/>
      </c>
      <c r="G170" s="0" t="str">
        <f aca="false">IF(F170="","",RANK(F170,$F$2:$F$181))</f>
        <v/>
      </c>
    </row>
    <row r="171" customFormat="false" ht="15" hidden="false" customHeight="false" outlineLevel="0" collapsed="false">
      <c r="A171" s="40" t="str">
        <f aca="false">IF('Kas Pribadi'!A57="","",'Kas Pribadi'!A57)</f>
        <v/>
      </c>
      <c r="B171" s="0" t="str">
        <f aca="false">IF('Kas Pribadi'!A57="","","Kas Pribadi")</f>
        <v/>
      </c>
      <c r="C171" s="4" t="n">
        <f aca="false">'Kas Pribadi'!B57</f>
        <v>0</v>
      </c>
      <c r="D171" s="4" t="n">
        <f aca="false">'Kas Pribadi'!E57</f>
        <v>0</v>
      </c>
      <c r="E171" s="7" t="n">
        <f aca="false">'Kas Pribadi'!F57</f>
        <v>0</v>
      </c>
      <c r="F171" s="0" t="str">
        <f aca="false">IF(A171="","",A171*1000+ROW())</f>
        <v/>
      </c>
      <c r="G171" s="0" t="str">
        <f aca="false">IF(F171="","",RANK(F171,$F$2:$F$181))</f>
        <v/>
      </c>
    </row>
    <row r="172" customFormat="false" ht="15" hidden="false" customHeight="false" outlineLevel="0" collapsed="false">
      <c r="A172" s="40" t="str">
        <f aca="false">IF('Kas Pribadi'!A58="","",'Kas Pribadi'!A58)</f>
        <v/>
      </c>
      <c r="B172" s="0" t="str">
        <f aca="false">IF('Kas Pribadi'!A58="","","Kas Pribadi")</f>
        <v/>
      </c>
      <c r="C172" s="4" t="n">
        <f aca="false">'Kas Pribadi'!B58</f>
        <v>0</v>
      </c>
      <c r="D172" s="4" t="n">
        <f aca="false">'Kas Pribadi'!E58</f>
        <v>0</v>
      </c>
      <c r="E172" s="7" t="n">
        <f aca="false">'Kas Pribadi'!F58</f>
        <v>0</v>
      </c>
      <c r="F172" s="0" t="str">
        <f aca="false">IF(A172="","",A172*1000+ROW())</f>
        <v/>
      </c>
      <c r="G172" s="0" t="str">
        <f aca="false">IF(F172="","",RANK(F172,$F$2:$F$181))</f>
        <v/>
      </c>
    </row>
    <row r="173" customFormat="false" ht="15" hidden="false" customHeight="false" outlineLevel="0" collapsed="false">
      <c r="A173" s="40" t="str">
        <f aca="false">IF('Kas Pribadi'!A59="","",'Kas Pribadi'!A59)</f>
        <v/>
      </c>
      <c r="B173" s="0" t="str">
        <f aca="false">IF('Kas Pribadi'!A59="","","Kas Pribadi")</f>
        <v/>
      </c>
      <c r="C173" s="4" t="n">
        <f aca="false">'Kas Pribadi'!B59</f>
        <v>0</v>
      </c>
      <c r="D173" s="4" t="n">
        <f aca="false">'Kas Pribadi'!E59</f>
        <v>0</v>
      </c>
      <c r="E173" s="7" t="n">
        <f aca="false">'Kas Pribadi'!F59</f>
        <v>0</v>
      </c>
      <c r="F173" s="0" t="str">
        <f aca="false">IF(A173="","",A173*1000+ROW())</f>
        <v/>
      </c>
      <c r="G173" s="0" t="str">
        <f aca="false">IF(F173="","",RANK(F173,$F$2:$F$181))</f>
        <v/>
      </c>
    </row>
    <row r="174" customFormat="false" ht="15" hidden="false" customHeight="false" outlineLevel="0" collapsed="false">
      <c r="A174" s="40" t="str">
        <f aca="false">IF('Kas Pribadi'!A60="","",'Kas Pribadi'!A60)</f>
        <v/>
      </c>
      <c r="B174" s="0" t="str">
        <f aca="false">IF('Kas Pribadi'!A60="","","Kas Pribadi")</f>
        <v/>
      </c>
      <c r="C174" s="4" t="n">
        <f aca="false">'Kas Pribadi'!B60</f>
        <v>0</v>
      </c>
      <c r="D174" s="4" t="n">
        <f aca="false">'Kas Pribadi'!E60</f>
        <v>0</v>
      </c>
      <c r="E174" s="7" t="n">
        <f aca="false">'Kas Pribadi'!F60</f>
        <v>0</v>
      </c>
      <c r="F174" s="0" t="str">
        <f aca="false">IF(A174="","",A174*1000+ROW())</f>
        <v/>
      </c>
      <c r="G174" s="0" t="str">
        <f aca="false">IF(F174="","",RANK(F174,$F$2:$F$181))</f>
        <v/>
      </c>
    </row>
    <row r="175" customFormat="false" ht="15" hidden="false" customHeight="false" outlineLevel="0" collapsed="false">
      <c r="A175" s="40" t="str">
        <f aca="false">IF('Kas Pribadi'!A61="","",'Kas Pribadi'!A61)</f>
        <v/>
      </c>
      <c r="B175" s="0" t="str">
        <f aca="false">IF('Kas Pribadi'!A61="","","Kas Pribadi")</f>
        <v/>
      </c>
      <c r="C175" s="4" t="n">
        <f aca="false">'Kas Pribadi'!B61</f>
        <v>0</v>
      </c>
      <c r="D175" s="4" t="n">
        <f aca="false">'Kas Pribadi'!E61</f>
        <v>0</v>
      </c>
      <c r="E175" s="7" t="n">
        <f aca="false">'Kas Pribadi'!F61</f>
        <v>0</v>
      </c>
      <c r="F175" s="0" t="str">
        <f aca="false">IF(A175="","",A175*1000+ROW())</f>
        <v/>
      </c>
      <c r="G175" s="0" t="str">
        <f aca="false">IF(F175="","",RANK(F175,$F$2:$F$181))</f>
        <v/>
      </c>
    </row>
    <row r="176" customFormat="false" ht="15" hidden="false" customHeight="false" outlineLevel="0" collapsed="false">
      <c r="A176" s="40" t="str">
        <f aca="false">IF('Kas Pribadi'!A62="","",'Kas Pribadi'!A62)</f>
        <v/>
      </c>
      <c r="B176" s="0" t="str">
        <f aca="false">IF('Kas Pribadi'!A62="","","Kas Pribadi")</f>
        <v/>
      </c>
      <c r="C176" s="4" t="n">
        <f aca="false">'Kas Pribadi'!B62</f>
        <v>0</v>
      </c>
      <c r="D176" s="4" t="n">
        <f aca="false">'Kas Pribadi'!E62</f>
        <v>0</v>
      </c>
      <c r="E176" s="7" t="n">
        <f aca="false">'Kas Pribadi'!F62</f>
        <v>0</v>
      </c>
      <c r="F176" s="0" t="str">
        <f aca="false">IF(A176="","",A176*1000+ROW())</f>
        <v/>
      </c>
      <c r="G176" s="0" t="str">
        <f aca="false">IF(F176="","",RANK(F176,$F$2:$F$181))</f>
        <v/>
      </c>
    </row>
    <row r="177" customFormat="false" ht="15" hidden="false" customHeight="false" outlineLevel="0" collapsed="false">
      <c r="A177" s="40" t="str">
        <f aca="false">IF('Kas Pribadi'!A63="","",'Kas Pribadi'!A63)</f>
        <v/>
      </c>
      <c r="B177" s="0" t="str">
        <f aca="false">IF('Kas Pribadi'!A63="","","Kas Pribadi")</f>
        <v/>
      </c>
      <c r="C177" s="4" t="n">
        <f aca="false">'Kas Pribadi'!B63</f>
        <v>0</v>
      </c>
      <c r="D177" s="4" t="n">
        <f aca="false">'Kas Pribadi'!E63</f>
        <v>0</v>
      </c>
      <c r="E177" s="7" t="n">
        <f aca="false">'Kas Pribadi'!F63</f>
        <v>0</v>
      </c>
      <c r="F177" s="0" t="str">
        <f aca="false">IF(A177="","",A177*1000+ROW())</f>
        <v/>
      </c>
      <c r="G177" s="0" t="str">
        <f aca="false">IF(F177="","",RANK(F177,$F$2:$F$181))</f>
        <v/>
      </c>
    </row>
    <row r="178" customFormat="false" ht="15" hidden="false" customHeight="false" outlineLevel="0" collapsed="false">
      <c r="A178" s="40" t="str">
        <f aca="false">IF('Kas Pribadi'!A64="","",'Kas Pribadi'!A64)</f>
        <v/>
      </c>
      <c r="B178" s="0" t="str">
        <f aca="false">IF('Kas Pribadi'!A64="","","Kas Pribadi")</f>
        <v/>
      </c>
      <c r="C178" s="4" t="n">
        <f aca="false">'Kas Pribadi'!B64</f>
        <v>0</v>
      </c>
      <c r="D178" s="4" t="n">
        <f aca="false">'Kas Pribadi'!E64</f>
        <v>0</v>
      </c>
      <c r="E178" s="7" t="n">
        <f aca="false">'Kas Pribadi'!F64</f>
        <v>0</v>
      </c>
      <c r="F178" s="0" t="str">
        <f aca="false">IF(A178="","",A178*1000+ROW())</f>
        <v/>
      </c>
      <c r="G178" s="0" t="str">
        <f aca="false">IF(F178="","",RANK(F178,$F$2:$F$181))</f>
        <v/>
      </c>
    </row>
    <row r="179" customFormat="false" ht="15" hidden="false" customHeight="false" outlineLevel="0" collapsed="false">
      <c r="A179" s="40" t="str">
        <f aca="false">IF('Kas Pribadi'!A65="","",'Kas Pribadi'!A65)</f>
        <v/>
      </c>
      <c r="B179" s="0" t="str">
        <f aca="false">IF('Kas Pribadi'!A65="","","Kas Pribadi")</f>
        <v/>
      </c>
      <c r="C179" s="4" t="n">
        <f aca="false">'Kas Pribadi'!B65</f>
        <v>0</v>
      </c>
      <c r="D179" s="4" t="n">
        <f aca="false">'Kas Pribadi'!E65</f>
        <v>0</v>
      </c>
      <c r="E179" s="7" t="n">
        <f aca="false">'Kas Pribadi'!F65</f>
        <v>0</v>
      </c>
      <c r="F179" s="0" t="str">
        <f aca="false">IF(A179="","",A179*1000+ROW())</f>
        <v/>
      </c>
      <c r="G179" s="0" t="str">
        <f aca="false">IF(F179="","",RANK(F179,$F$2:$F$181))</f>
        <v/>
      </c>
    </row>
    <row r="180" customFormat="false" ht="15" hidden="false" customHeight="false" outlineLevel="0" collapsed="false">
      <c r="A180" s="40" t="str">
        <f aca="false">IF('Kas Pribadi'!A66="","",'Kas Pribadi'!A66)</f>
        <v/>
      </c>
      <c r="B180" s="0" t="str">
        <f aca="false">IF('Kas Pribadi'!A66="","","Kas Pribadi")</f>
        <v/>
      </c>
      <c r="C180" s="4" t="n">
        <f aca="false">'Kas Pribadi'!B66</f>
        <v>0</v>
      </c>
      <c r="D180" s="4" t="n">
        <f aca="false">'Kas Pribadi'!E66</f>
        <v>0</v>
      </c>
      <c r="E180" s="7" t="n">
        <f aca="false">'Kas Pribadi'!F66</f>
        <v>0</v>
      </c>
      <c r="F180" s="0" t="str">
        <f aca="false">IF(A180="","",A180*1000+ROW())</f>
        <v/>
      </c>
      <c r="G180" s="0" t="str">
        <f aca="false">IF(F180="","",RANK(F180,$F$2:$F$181))</f>
        <v/>
      </c>
    </row>
    <row r="181" customFormat="false" ht="15" hidden="false" customHeight="false" outlineLevel="0" collapsed="false">
      <c r="A181" s="40" t="str">
        <f aca="false">IF('Kas Pribadi'!A67="","",'Kas Pribadi'!A67)</f>
        <v/>
      </c>
      <c r="B181" s="0" t="str">
        <f aca="false">IF('Kas Pribadi'!A67="","","Kas Pribadi")</f>
        <v/>
      </c>
      <c r="C181" s="4" t="n">
        <f aca="false">'Kas Pribadi'!B67</f>
        <v>0</v>
      </c>
      <c r="D181" s="4" t="n">
        <f aca="false">'Kas Pribadi'!E67</f>
        <v>0</v>
      </c>
      <c r="E181" s="7" t="n">
        <f aca="false">'Kas Pribadi'!F67</f>
        <v>0</v>
      </c>
      <c r="F181" s="0" t="str">
        <f aca="false">IF(A181="","",A181*1000+ROW())</f>
        <v/>
      </c>
      <c r="G181" s="0" t="str">
        <f aca="false">IF(F181="","",RANK(F181,$F$2:$F$181))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348</v>
      </c>
      <c r="B1" s="0" t="s">
        <v>349</v>
      </c>
      <c r="C1" s="0" t="s">
        <v>350</v>
      </c>
      <c r="D1" s="0" t="s">
        <v>351</v>
      </c>
      <c r="E1" s="0" t="s">
        <v>352</v>
      </c>
      <c r="F1" s="0" t="s">
        <v>353</v>
      </c>
      <c r="G1" s="0" t="s">
        <v>354</v>
      </c>
      <c r="H1" s="0" t="s">
        <v>355</v>
      </c>
      <c r="I1" s="0" t="s">
        <v>356</v>
      </c>
      <c r="J1" s="0" t="s">
        <v>357</v>
      </c>
      <c r="K1" s="0" t="s">
        <v>358</v>
      </c>
      <c r="L1" s="0" t="s">
        <v>359</v>
      </c>
      <c r="M1" s="0" t="s">
        <v>360</v>
      </c>
      <c r="N1" s="0" t="s">
        <v>361</v>
      </c>
      <c r="O1" s="0" t="s">
        <v>362</v>
      </c>
    </row>
    <row r="2" customFormat="false" ht="15" hidden="false" customHeight="false" outlineLevel="0" collapsed="false">
      <c r="A2" s="0" t="s">
        <v>28</v>
      </c>
      <c r="B2" s="0" t="s">
        <v>75</v>
      </c>
      <c r="C2" s="0" t="s">
        <v>76</v>
      </c>
      <c r="D2" s="0" t="s">
        <v>30</v>
      </c>
      <c r="E2" s="0" t="s">
        <v>31</v>
      </c>
      <c r="F2" s="0" t="s">
        <v>165</v>
      </c>
      <c r="G2" s="0" t="s">
        <v>168</v>
      </c>
      <c r="H2" s="0" t="s">
        <v>223</v>
      </c>
      <c r="I2" s="0" t="s">
        <v>363</v>
      </c>
      <c r="J2" s="0" t="s">
        <v>364</v>
      </c>
      <c r="K2" s="0" t="s">
        <v>365</v>
      </c>
      <c r="L2" s="0" t="s">
        <v>366</v>
      </c>
      <c r="M2" s="0" t="s">
        <v>174</v>
      </c>
      <c r="N2" s="0" t="s">
        <v>367</v>
      </c>
      <c r="O2" s="0" t="s">
        <v>368</v>
      </c>
    </row>
    <row r="3" customFormat="false" ht="15" hidden="false" customHeight="false" outlineLevel="0" collapsed="false">
      <c r="A3" s="0" t="s">
        <v>369</v>
      </c>
      <c r="B3" s="0" t="s">
        <v>78</v>
      </c>
      <c r="C3" s="0" t="s">
        <v>370</v>
      </c>
      <c r="D3" s="0" t="s">
        <v>80</v>
      </c>
      <c r="E3" s="0" t="s">
        <v>53</v>
      </c>
      <c r="F3" s="0" t="s">
        <v>175</v>
      </c>
      <c r="G3" s="0" t="s">
        <v>228</v>
      </c>
      <c r="H3" s="0" t="s">
        <v>229</v>
      </c>
      <c r="I3" s="0" t="s">
        <v>371</v>
      </c>
      <c r="J3" s="0" t="s">
        <v>212</v>
      </c>
      <c r="K3" s="0" t="s">
        <v>372</v>
      </c>
      <c r="L3" s="0" t="s">
        <v>373</v>
      </c>
      <c r="M3" s="0" t="s">
        <v>169</v>
      </c>
      <c r="N3" s="0" t="s">
        <v>374</v>
      </c>
      <c r="O3" s="0" t="s">
        <v>375</v>
      </c>
    </row>
    <row r="4" customFormat="false" ht="15" hidden="false" customHeight="false" outlineLevel="0" collapsed="false">
      <c r="A4" s="0" t="s">
        <v>89</v>
      </c>
      <c r="B4" s="0" t="s">
        <v>376</v>
      </c>
      <c r="C4" s="0" t="s">
        <v>377</v>
      </c>
      <c r="F4" s="0" t="s">
        <v>182</v>
      </c>
      <c r="G4" s="0" t="s">
        <v>236</v>
      </c>
      <c r="H4" s="0" t="s">
        <v>371</v>
      </c>
      <c r="J4" s="0" t="s">
        <v>204</v>
      </c>
      <c r="N4" s="0" t="s">
        <v>378</v>
      </c>
    </row>
    <row r="5" customFormat="false" ht="15" hidden="false" customHeight="false" outlineLevel="0" collapsed="false">
      <c r="A5" s="0" t="s">
        <v>379</v>
      </c>
      <c r="B5" s="0" t="s">
        <v>380</v>
      </c>
      <c r="F5" s="0" t="s">
        <v>187</v>
      </c>
      <c r="G5" s="0" t="s">
        <v>204</v>
      </c>
      <c r="J5" s="0" t="s">
        <v>236</v>
      </c>
      <c r="N5" s="0" t="s">
        <v>381</v>
      </c>
    </row>
    <row r="6" customFormat="false" ht="15" hidden="false" customHeight="false" outlineLevel="0" collapsed="false">
      <c r="A6" s="0" t="s">
        <v>382</v>
      </c>
      <c r="B6" s="0" t="s">
        <v>383</v>
      </c>
      <c r="F6" s="0" t="s">
        <v>192</v>
      </c>
      <c r="G6" s="0" t="s">
        <v>384</v>
      </c>
      <c r="J6" s="0" t="s">
        <v>168</v>
      </c>
    </row>
    <row r="7" customFormat="false" ht="15" hidden="false" customHeight="false" outlineLevel="0" collapsed="false">
      <c r="A7" s="0" t="s">
        <v>385</v>
      </c>
      <c r="B7" s="0" t="s">
        <v>386</v>
      </c>
      <c r="F7" s="0" t="s">
        <v>201</v>
      </c>
      <c r="G7" s="0" t="s">
        <v>212</v>
      </c>
      <c r="J7" s="0" t="s">
        <v>228</v>
      </c>
    </row>
    <row r="8" customFormat="false" ht="15" hidden="false" customHeight="false" outlineLevel="0" collapsed="false">
      <c r="A8" s="0" t="s">
        <v>387</v>
      </c>
      <c r="B8" s="0" t="s">
        <v>388</v>
      </c>
      <c r="F8" s="0" t="s">
        <v>389</v>
      </c>
      <c r="G8" s="0" t="s">
        <v>195</v>
      </c>
      <c r="J8" s="0" t="s">
        <v>390</v>
      </c>
    </row>
    <row r="9" customFormat="false" ht="15" hidden="false" customHeight="false" outlineLevel="0" collapsed="false">
      <c r="A9" s="0" t="s">
        <v>391</v>
      </c>
      <c r="B9" s="0" t="s">
        <v>377</v>
      </c>
      <c r="F9" s="0" t="s">
        <v>392</v>
      </c>
      <c r="G9" s="0" t="s">
        <v>393</v>
      </c>
      <c r="J9" s="0" t="s">
        <v>394</v>
      </c>
    </row>
    <row r="10" customFormat="false" ht="15" hidden="false" customHeight="false" outlineLevel="0" collapsed="false">
      <c r="F10" s="0" t="s">
        <v>207</v>
      </c>
      <c r="G10" s="0" t="s">
        <v>200</v>
      </c>
      <c r="J10" s="0" t="s">
        <v>234</v>
      </c>
    </row>
    <row r="11" customFormat="false" ht="15" hidden="false" customHeight="false" outlineLevel="0" collapsed="false">
      <c r="F11" s="0" t="s">
        <v>395</v>
      </c>
      <c r="G11" s="0" t="s">
        <v>396</v>
      </c>
      <c r="J11" s="0" t="s">
        <v>397</v>
      </c>
    </row>
    <row r="12" customFormat="false" ht="15" hidden="false" customHeight="false" outlineLevel="0" collapsed="false">
      <c r="G12" s="0" t="s">
        <v>225</v>
      </c>
      <c r="J12" s="0" t="s">
        <v>398</v>
      </c>
    </row>
    <row r="13" customFormat="false" ht="15" hidden="false" customHeight="false" outlineLevel="0" collapsed="false">
      <c r="J13" s="0" t="s">
        <v>399</v>
      </c>
    </row>
    <row r="14" customFormat="false" ht="15" hidden="false" customHeight="false" outlineLevel="0" collapsed="false">
      <c r="J14" s="0" t="s">
        <v>400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2026-08-12T06:06:43Z</dcterms:created>
  <dc:creator>openpyxl</dc:creator>
  <dc:description/>
  <dc:language>en-US</dc:language>
  <cp:lastModifiedBy/>
  <dcterms:modified xsi:type="dcterms:W3CDTF">2026-08-12T06:06:47Z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